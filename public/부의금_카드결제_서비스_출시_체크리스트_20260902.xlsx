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출시현황" sheetId="1" state="visible" r:id="rId1"/>
    <sheet xmlns:r="http://schemas.openxmlformats.org/officeDocument/2006/relationships" name="출시_체크리스트" sheetId="2" state="visible" r:id="rId2"/>
    <sheet xmlns:r="http://schemas.openxmlformats.org/officeDocument/2006/relationships" name="영업팀_B2B_검증" sheetId="3" state="visible" r:id="rId3"/>
    <sheet xmlns:r="http://schemas.openxmlformats.org/officeDocument/2006/relationships" name="운영팀_기능_검증" sheetId="4" state="visible" r:id="rId4"/>
    <sheet xmlns:r="http://schemas.openxmlformats.org/officeDocument/2006/relationships" name="디자인_UIUX_검증" sheetId="5" state="visible" r:id="rId5"/>
    <sheet xmlns:r="http://schemas.openxmlformats.org/officeDocument/2006/relationships" name="QA_오류_캡처_리포트"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맑은 고딕"/>
      <b val="1"/>
      <color rgb="00FFFFFF"/>
      <sz val="15"/>
    </font>
    <font>
      <name val="맑은 고딕"/>
      <b val="1"/>
      <color rgb="00FFFFFF"/>
      <sz val="10"/>
    </font>
    <font>
      <name val="맑은 고딕"/>
      <b val="1"/>
      <color rgb="000F172A"/>
      <sz val="9.5"/>
    </font>
    <font>
      <name val="맑은 고딕"/>
      <b val="1"/>
      <color rgb="00B91C1C"/>
      <sz val="11"/>
    </font>
    <font>
      <name val="맑은 고딕"/>
      <color rgb="001E3A8A"/>
      <sz val="9.5"/>
    </font>
    <font>
      <name val="맑은 고딕"/>
      <color rgb="001E293B"/>
      <sz val="9.5"/>
    </font>
    <font>
      <name val="맑은 고딕"/>
      <color rgb="00475569"/>
      <sz val="9.5"/>
    </font>
    <font>
      <name val="맑은 고딕"/>
      <b val="1"/>
      <color rgb="000F172A"/>
      <sz val="11"/>
    </font>
    <font>
      <name val="맑은 고딕"/>
      <b val="1"/>
      <color rgb="001E293B"/>
      <sz val="15"/>
    </font>
    <font>
      <name val="맑은 고딕"/>
      <i val="1"/>
      <color rgb="0064748B"/>
      <sz val="10"/>
    </font>
    <font>
      <name val="맑은 고딕"/>
      <b val="1"/>
      <color rgb="00FFFFFF"/>
      <sz val="11"/>
    </font>
    <font>
      <name val="맑은 고딕"/>
      <color rgb="001E293B"/>
      <sz val="10"/>
    </font>
    <font>
      <name val="맑은 고딕"/>
      <i val="1"/>
      <color rgb="0094A3B8"/>
      <sz val="9"/>
    </font>
  </fonts>
  <fills count="12">
    <fill>
      <patternFill/>
    </fill>
    <fill>
      <patternFill patternType="gray125"/>
    </fill>
    <fill>
      <patternFill patternType="solid">
        <fgColor rgb="001B365D"/>
        <bgColor rgb="001B365D"/>
      </patternFill>
    </fill>
    <fill>
      <patternFill patternType="solid">
        <fgColor rgb="003B82F6"/>
        <bgColor rgb="003B82F6"/>
      </patternFill>
    </fill>
    <fill>
      <patternFill patternType="solid">
        <fgColor rgb="00FEE2E2"/>
        <bgColor rgb="00FEE2E2"/>
      </patternFill>
    </fill>
    <fill>
      <patternFill patternType="solid">
        <fgColor rgb="00EFF6FF"/>
        <bgColor rgb="00EFF6FF"/>
      </patternFill>
    </fill>
    <fill>
      <patternFill patternType="solid">
        <fgColor rgb="004A6FA5"/>
        <bgColor rgb="004A6FA5"/>
      </patternFill>
    </fill>
    <fill>
      <patternFill patternType="solid">
        <fgColor rgb="00203A63"/>
        <bgColor rgb="00203A63"/>
      </patternFill>
    </fill>
    <fill>
      <patternFill patternType="solid">
        <fgColor rgb="00DCFCE7"/>
        <bgColor rgb="00DCFCE7"/>
      </patternFill>
    </fill>
    <fill>
      <patternFill patternType="solid">
        <fgColor rgb="00F8FAFC"/>
        <bgColor rgb="00F8FAFC"/>
      </patternFill>
    </fill>
    <fill>
      <patternFill patternType="solid">
        <fgColor rgb="00FEF3C7"/>
        <bgColor rgb="00FEF3C7"/>
      </patternFill>
    </fill>
    <fill>
      <patternFill patternType="solid">
        <fgColor rgb="001E3A8A"/>
        <bgColor rgb="001E3A8A"/>
      </patternFill>
    </fill>
  </fills>
  <borders count="7">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style="thin">
        <color rgb="00CBD5E1"/>
      </right>
      <top style="thin">
        <color rgb="00CBD5E1"/>
      </top>
      <bottom style="thin">
        <color rgb="00CBD5E1"/>
      </bottom>
      <diagonal/>
    </border>
    <border>
      <left/>
      <right/>
      <top style="thin">
        <color rgb="00CBD5E1"/>
      </top>
      <bottom style="thin">
        <color rgb="00CBD5E1"/>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pivotButton="0" quotePrefix="0" xfId="0"/>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5" fillId="5" borderId="1" applyAlignment="1" pivotButton="0" quotePrefix="0" xfId="0">
      <alignment horizontal="left" vertical="center" wrapText="1"/>
    </xf>
    <xf numFmtId="164"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6" fillId="5" borderId="1" applyAlignment="1" pivotButton="0" quotePrefix="0" xfId="0">
      <alignment horizontal="left" vertical="center" wrapText="1"/>
    </xf>
    <xf numFmtId="0" fontId="2" fillId="6"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0" applyAlignment="1" pivotButton="0" quotePrefix="0" xfId="0">
      <alignment horizontal="left" vertical="center" wrapText="1"/>
    </xf>
    <xf numFmtId="0" fontId="2" fillId="7" borderId="1" applyAlignment="1" pivotButton="0" quotePrefix="0" xfId="0">
      <alignment horizontal="center" vertical="center" wrapText="1"/>
    </xf>
    <xf numFmtId="0" fontId="6" fillId="0" borderId="1" applyAlignment="1" pivotButton="0" quotePrefix="0" xfId="0">
      <alignment horizontal="left"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9" borderId="1" applyAlignment="1" pivotButton="0" quotePrefix="0" xfId="0">
      <alignment horizontal="left" vertical="center" wrapText="1"/>
    </xf>
    <xf numFmtId="0" fontId="3" fillId="10" borderId="1" applyAlignment="1" pivotButton="0" quotePrefix="0" xfId="0">
      <alignment horizontal="center" vertical="center" wrapText="1"/>
    </xf>
    <xf numFmtId="0" fontId="8" fillId="0" borderId="0" applyAlignment="1" pivotButton="0" quotePrefix="0" xfId="0">
      <alignment horizontal="left" vertical="center" wrapText="1"/>
    </xf>
    <xf numFmtId="0" fontId="0" fillId="0" borderId="5" pivotButton="0" quotePrefix="0" xfId="0"/>
    <xf numFmtId="0" fontId="0" fillId="0" borderId="4" pivotButton="0" quotePrefix="0" xfId="0"/>
    <xf numFmtId="0" fontId="9" fillId="0" borderId="0" pivotButton="0" quotePrefix="0" xfId="0"/>
    <xf numFmtId="0" fontId="10" fillId="0" borderId="0" pivotButton="0" quotePrefix="0" xfId="0"/>
    <xf numFmtId="0" fontId="11" fillId="11" borderId="6" applyAlignment="1" pivotButton="0" quotePrefix="0" xfId="0">
      <alignment horizontal="center" vertical="center" wrapText="1"/>
    </xf>
    <xf numFmtId="0" fontId="12" fillId="0" borderId="6" applyAlignment="1" pivotButton="0" quotePrefix="0" xfId="0">
      <alignment horizontal="center" vertical="center" wrapText="1"/>
    </xf>
    <xf numFmtId="0" fontId="12" fillId="0" borderId="6" applyAlignment="1" pivotButton="0" quotePrefix="0" xfId="0">
      <alignment horizontal="left" vertical="center" wrapText="1"/>
    </xf>
    <xf numFmtId="0" fontId="13"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1" workbookViewId="0">
      <selection activeCell="A1" sqref="A1"/>
    </sheetView>
  </sheetViews>
  <sheetFormatPr baseColWidth="8" defaultRowHeight="15"/>
  <cols>
    <col width="25" customWidth="1" min="1" max="1"/>
    <col width="16" customWidth="1" min="2" max="2"/>
    <col width="16" customWidth="1" min="3" max="3"/>
    <col width="16" customWidth="1" min="4" max="4"/>
    <col width="16" customWidth="1" min="5" max="5"/>
    <col width="14" customWidth="1" min="6" max="6"/>
    <col width="14" customWidth="1" min="7" max="7"/>
  </cols>
  <sheetData>
    <row r="1" ht="36" customHeight="1">
      <c r="A1" s="1" t="inlineStr">
        <is>
          <t>[데브늄] 부의금 카드결제(부의페이) &amp; 이음부고 전사 출시 현황판</t>
        </is>
      </c>
    </row>
    <row r="3">
      <c r="A3" s="2" t="inlineStr">
        <is>
          <t>핵심 지표</t>
        </is>
      </c>
      <c r="B3" s="2" t="inlineStr">
        <is>
          <t>현재 값</t>
        </is>
      </c>
      <c r="C3" s="2" t="inlineStr">
        <is>
          <t>데브늄 부의금 서비스 6대 출시 원칙</t>
        </is>
      </c>
      <c r="D3" s="21" t="n"/>
      <c r="E3" s="21" t="n"/>
      <c r="F3" s="21" t="n"/>
      <c r="G3" s="22" t="n"/>
    </row>
    <row r="4">
      <c r="A4" s="4" t="inlineStr">
        <is>
          <t>전체 항목</t>
        </is>
      </c>
      <c r="B4" s="5">
        <f>COUNTA('출시_체크리스트'!A5:A131)</f>
        <v/>
      </c>
      <c r="C4" s="6" t="inlineStr">
        <is>
          <t>1. PG사(이노페이)의 서면 승인 및 정산 계약 완료</t>
        </is>
      </c>
      <c r="D4" s="21" t="n"/>
      <c r="E4" s="21" t="n"/>
      <c r="F4" s="21" t="n"/>
      <c r="G4" s="22" t="n"/>
    </row>
    <row r="5">
      <c r="A5" s="4" t="inlineStr">
        <is>
          <t>완료</t>
        </is>
      </c>
      <c r="B5" s="5">
        <f>COUNTIF('출시_체크리스트'!F5:F131, "완료")</f>
        <v/>
      </c>
      <c r="C5" s="6" t="inlineStr">
        <is>
          <t>2. 부의금 원금은 PG사가 상주 계좌로 직접 실시간/익일 지급</t>
        </is>
      </c>
      <c r="D5" s="21" t="n"/>
      <c r="E5" s="21" t="n"/>
      <c r="F5" s="21" t="n"/>
      <c r="G5" s="22" t="n"/>
    </row>
    <row r="6">
      <c r="A6" s="4" t="inlineStr">
        <is>
          <t>진행중</t>
        </is>
      </c>
      <c r="B6" s="5">
        <f>COUNTIF('출시_체크리스트'!F5:F131, "진행중")</f>
        <v/>
      </c>
      <c r="C6" s="6" t="inlineStr">
        <is>
          <t>3. 데브늄은 단독 서비스 제공자이자 대표 가맹점 (무등록 PG 리스크 차단)</t>
        </is>
      </c>
      <c r="D6" s="21" t="n"/>
      <c r="E6" s="21" t="n"/>
      <c r="F6" s="21" t="n"/>
      <c r="G6" s="22" t="n"/>
    </row>
    <row r="7">
      <c r="A7" s="4" t="inlineStr">
        <is>
          <t>미확인</t>
        </is>
      </c>
      <c r="B7" s="5">
        <f>COUNTIF('출시_체크리스트'!F5:F131, "미확인")</f>
        <v/>
      </c>
      <c r="C7" s="6" t="inlineStr">
        <is>
          <t>4. 고객사(장례식장/부고온)는 하위가맹점이 아닌 제휴채널 역할만 수행</t>
        </is>
      </c>
      <c r="D7" s="21" t="n"/>
      <c r="E7" s="21" t="n"/>
      <c r="F7" s="21" t="n"/>
      <c r="G7" s="22" t="n"/>
    </row>
    <row r="8">
      <c r="A8" s="4" t="inlineStr">
        <is>
          <t>필수 미완료</t>
        </is>
      </c>
      <c r="B8" s="5">
        <f>COUNTIFS('출시_체크리스트'!C5:C131, "필수", '출시_체크리스트'!F5:F131, "&lt;&gt;완료")</f>
        <v/>
      </c>
      <c r="C8" s="6" t="inlineStr">
        <is>
          <t>5. 부의금 원금과 서비스 이용료(8.6%)를 시스템·회계상 완전 분리</t>
        </is>
      </c>
      <c r="D8" s="21" t="n"/>
      <c r="E8" s="21" t="n"/>
      <c r="F8" s="21" t="n"/>
      <c r="G8" s="22" t="n"/>
    </row>
    <row r="9">
      <c r="A9" s="4" t="inlineStr">
        <is>
          <t>전체 진행률</t>
        </is>
      </c>
      <c r="B9" s="7">
        <f>IF(B4&gt;0, B5/B4, 0)</f>
        <v/>
      </c>
      <c r="C9" s="6" t="inlineStr">
        <is>
          <t>6. 필수 미완료가 0건이고 이지훈 대표님 최종 승인 시 정식 런칭</t>
        </is>
      </c>
      <c r="D9" s="21" t="n"/>
      <c r="E9" s="21" t="n"/>
      <c r="F9" s="21" t="n"/>
      <c r="G9" s="22" t="n"/>
    </row>
    <row r="10">
      <c r="A10" s="4" t="inlineStr">
        <is>
          <t>출시 판정</t>
        </is>
      </c>
      <c r="B10" s="8">
        <f>IF(B8=0, "출시 승인", "출시 보류 (QA 진행중)")</f>
        <v/>
      </c>
      <c r="C10" s="9" t="inlineStr"/>
      <c r="D10" s="21" t="n"/>
      <c r="E10" s="21" t="n"/>
      <c r="F10" s="21" t="n"/>
      <c r="G10" s="22" t="n"/>
    </row>
    <row r="12">
      <c r="A12" s="10" t="inlineStr">
        <is>
          <t>분야</t>
        </is>
      </c>
      <c r="B12" s="10" t="inlineStr">
        <is>
          <t>전체</t>
        </is>
      </c>
      <c r="C12" s="10" t="inlineStr">
        <is>
          <t>완료</t>
        </is>
      </c>
      <c r="D12" s="10" t="inlineStr">
        <is>
          <t>진행중</t>
        </is>
      </c>
      <c r="E12" s="10" t="inlineStr">
        <is>
          <t>미확인</t>
        </is>
      </c>
      <c r="F12" s="10" t="inlineStr">
        <is>
          <t>진행률</t>
        </is>
      </c>
      <c r="G12" s="22" t="n"/>
    </row>
    <row r="13">
      <c r="A13" s="4" t="inlineStr">
        <is>
          <t>PG사 승인 및 계약</t>
        </is>
      </c>
      <c r="B13" s="11">
        <f>COUNTIF('출시_체크리스트'!B5:B131, "PG사 승인 및 계약")</f>
        <v/>
      </c>
      <c r="C13" s="11">
        <f>COUNTIFS('출시_체크리스트'!B5:B131, "PG사 승인 및 계약", '출시_체크리스트'!F5:F131, "완료")</f>
        <v/>
      </c>
      <c r="D13" s="11">
        <f>COUNTIFS('출시_체크리스트'!B5:B131, "PG사 승인 및 계약", '출시_체크리스트'!F5:F131, "진행중")</f>
        <v/>
      </c>
      <c r="E13" s="11">
        <f>COUNTIFS('출시_체크리스트'!B5:B131, "PG사 승인 및 계약", '출시_체크리스트'!F5:F131, "미확인")</f>
        <v/>
      </c>
      <c r="F13" s="7">
        <f>IF(B13&gt;0, C13/B13, 0)</f>
        <v/>
      </c>
      <c r="G13" s="22" t="n"/>
    </row>
    <row r="14">
      <c r="A14" s="4" t="inlineStr">
        <is>
          <t>법률·회계 검토</t>
        </is>
      </c>
      <c r="B14" s="11">
        <f>COUNTIF('출시_체크리스트'!B5:B131, "법률·회계 검토")</f>
        <v/>
      </c>
      <c r="C14" s="11">
        <f>COUNTIFS('출시_체크리스트'!B5:B131, "법률·회계 검토", '출시_체크리스트'!F5:F131, "완료")</f>
        <v/>
      </c>
      <c r="D14" s="11">
        <f>COUNTIFS('출시_체크리스트'!B5:B131, "법률·회계 검토", '출시_체크리스트'!F5:F131, "진행중")</f>
        <v/>
      </c>
      <c r="E14" s="11">
        <f>COUNTIFS('출시_체크리스트'!B5:B131, "법률·회계 검토", '출시_체크리스트'!F5:F131, "미확인")</f>
        <v/>
      </c>
      <c r="F14" s="7">
        <f>IF(B14&gt;0, C14/B14, 0)</f>
        <v/>
      </c>
      <c r="G14" s="22" t="n"/>
    </row>
    <row r="15">
      <c r="A15" s="4" t="inlineStr">
        <is>
          <t>고객사 계약</t>
        </is>
      </c>
      <c r="B15" s="11">
        <f>COUNTIF('출시_체크리스트'!B5:B131, "고객사 계약")</f>
        <v/>
      </c>
      <c r="C15" s="11">
        <f>COUNTIFS('출시_체크리스트'!B5:B131, "고객사 계약", '출시_체크리스트'!F5:F131, "완료")</f>
        <v/>
      </c>
      <c r="D15" s="11">
        <f>COUNTIFS('출시_체크리스트'!B5:B131, "고객사 계약", '출시_체크리스트'!F5:F131, "진행중")</f>
        <v/>
      </c>
      <c r="E15" s="11">
        <f>COUNTIFS('출시_체크리스트'!B5:B131, "고객사 계약", '출시_체크리스트'!F5:F131, "미확인")</f>
        <v/>
      </c>
      <c r="F15" s="7">
        <f>IF(B15&gt;0, C15/B15, 0)</f>
        <v/>
      </c>
      <c r="G15" s="22" t="n"/>
    </row>
    <row r="16">
      <c r="A16" s="4" t="inlineStr">
        <is>
          <t>고객사 수수료</t>
        </is>
      </c>
      <c r="B16" s="11">
        <f>COUNTIF('출시_체크리스트'!B5:B131, "고객사 수수료")</f>
        <v/>
      </c>
      <c r="C16" s="11">
        <f>COUNTIFS('출시_체크리스트'!B5:B131, "고객사 수수료", '출시_체크리스트'!F5:F131, "완료")</f>
        <v/>
      </c>
      <c r="D16" s="11">
        <f>COUNTIFS('출시_체크리스트'!B5:B131, "고객사 수수료", '출시_체크리스트'!F5:F131, "진행중")</f>
        <v/>
      </c>
      <c r="E16" s="11">
        <f>COUNTIFS('출시_체크리스트'!B5:B131, "고객사 수수료", '출시_체크리스트'!F5:F131, "미확인")</f>
        <v/>
      </c>
      <c r="F16" s="7">
        <f>IF(B16&gt;0, C16/B16, 0)</f>
        <v/>
      </c>
      <c r="G16" s="22" t="n"/>
    </row>
    <row r="17">
      <c r="A17" s="4" t="inlineStr">
        <is>
          <t>이용약관 및 결제화면</t>
        </is>
      </c>
      <c r="B17" s="11">
        <f>COUNTIF('출시_체크리스트'!B5:B131, "이용약관 및 결제화면")</f>
        <v/>
      </c>
      <c r="C17" s="11">
        <f>COUNTIFS('출시_체크리스트'!B5:B131, "이용약관 및 결제화면", '출시_체크리스트'!F5:F131, "완료")</f>
        <v/>
      </c>
      <c r="D17" s="11">
        <f>COUNTIFS('출시_체크리스트'!B5:B131, "이용약관 및 결제화면", '출시_체크리스트'!F5:F131, "진행중")</f>
        <v/>
      </c>
      <c r="E17" s="11">
        <f>COUNTIFS('출시_체크리스트'!B5:B131, "이용약관 및 결제화면", '출시_체크리스트'!F5:F131, "미확인")</f>
        <v/>
      </c>
      <c r="F17" s="7">
        <f>IF(B17&gt;0, C17/B17, 0)</f>
        <v/>
      </c>
      <c r="G17" s="22" t="n"/>
    </row>
    <row r="18">
      <c r="A18" s="4" t="inlineStr">
        <is>
          <t>상주 및 계좌 확인</t>
        </is>
      </c>
      <c r="B18" s="11">
        <f>COUNTIF('출시_체크리스트'!B5:B131, "상주 및 계좌 확인")</f>
        <v/>
      </c>
      <c r="C18" s="11">
        <f>COUNTIFS('출시_체크리스트'!B5:B131, "상주 및 계좌 확인", '출시_체크리스트'!F5:F131, "완료")</f>
        <v/>
      </c>
      <c r="D18" s="11">
        <f>COUNTIFS('출시_체크리스트'!B5:B131, "상주 및 계좌 확인", '출시_체크리스트'!F5:F131, "진행중")</f>
        <v/>
      </c>
      <c r="E18" s="11">
        <f>COUNTIFS('출시_체크리스트'!B5:B131, "상주 및 계좌 확인", '출시_체크리스트'!F5:F131, "미확인")</f>
        <v/>
      </c>
      <c r="F18" s="7">
        <f>IF(B18&gt;0, C18/B18, 0)</f>
        <v/>
      </c>
      <c r="G18" s="22" t="n"/>
    </row>
    <row r="19">
      <c r="A19" s="4" t="inlineStr">
        <is>
          <t>취소·환불·차지백</t>
        </is>
      </c>
      <c r="B19" s="11">
        <f>COUNTIF('출시_체크리스트'!B5:B131, "취소·환불·차지백")</f>
        <v/>
      </c>
      <c r="C19" s="11">
        <f>COUNTIFS('출시_체크리스트'!B5:B131, "취소·환불·차지백", '출시_체크리스트'!F5:F131, "완료")</f>
        <v/>
      </c>
      <c r="D19" s="11">
        <f>COUNTIFS('출시_체크리스트'!B5:B131, "취소·환불·차지백", '출시_체크리스트'!F5:F131, "진행중")</f>
        <v/>
      </c>
      <c r="E19" s="11">
        <f>COUNTIFS('출시_체크리스트'!B5:B131, "취소·환불·차지백", '출시_체크리스트'!F5:F131, "미확인")</f>
        <v/>
      </c>
      <c r="F19" s="7">
        <f>IF(B19&gt;0, C19/B19, 0)</f>
        <v/>
      </c>
      <c r="G19" s="22" t="n"/>
    </row>
    <row r="20">
      <c r="A20" s="4" t="inlineStr">
        <is>
          <t>부정결제 및 사고 방지</t>
        </is>
      </c>
      <c r="B20" s="11">
        <f>COUNTIF('출시_체크리스트'!B5:B131, "부정결제 및 사고 방지")</f>
        <v/>
      </c>
      <c r="C20" s="11">
        <f>COUNTIFS('출시_체크리스트'!B5:B131, "부정결제 및 사고 방지", '출시_체크리스트'!F5:F131, "완료")</f>
        <v/>
      </c>
      <c r="D20" s="11">
        <f>COUNTIFS('출시_체크리스트'!B5:B131, "부정결제 및 사고 방지", '출시_체크리스트'!F5:F131, "진행중")</f>
        <v/>
      </c>
      <c r="E20" s="11">
        <f>COUNTIFS('출시_체크리스트'!B5:B131, "부정결제 및 사고 방지", '출시_체크리스트'!F5:F131, "미확인")</f>
        <v/>
      </c>
      <c r="F20" s="7">
        <f>IF(B20&gt;0, C20/B20, 0)</f>
        <v/>
      </c>
      <c r="G20" s="22" t="n"/>
    </row>
    <row r="21">
      <c r="A21" s="4" t="inlineStr">
        <is>
          <t>개인정보 보호</t>
        </is>
      </c>
      <c r="B21" s="11">
        <f>COUNTIF('출시_체크리스트'!B5:B131, "개인정보 보호")</f>
        <v/>
      </c>
      <c r="C21" s="11">
        <f>COUNTIFS('출시_체크리스트'!B5:B131, "개인정보 보호", '출시_체크리스트'!F5:F131, "완료")</f>
        <v/>
      </c>
      <c r="D21" s="11">
        <f>COUNTIFS('출시_체크리스트'!B5:B131, "개인정보 보호", '출시_체크리스트'!F5:F131, "진행중")</f>
        <v/>
      </c>
      <c r="E21" s="11">
        <f>COUNTIFS('출시_체크리스트'!B5:B131, "개인정보 보호", '출시_체크리스트'!F5:F131, "미확인")</f>
        <v/>
      </c>
      <c r="F21" s="7">
        <f>IF(B21&gt;0, C21/B21, 0)</f>
        <v/>
      </c>
      <c r="G21" s="22" t="n"/>
    </row>
    <row r="22">
      <c r="A22" s="4" t="inlineStr">
        <is>
          <t>정산 및 관리자 기능</t>
        </is>
      </c>
      <c r="B22" s="11">
        <f>COUNTIF('출시_체크리스트'!B5:B131, "정산 및 관리자 기능")</f>
        <v/>
      </c>
      <c r="C22" s="11">
        <f>COUNTIFS('출시_체크리스트'!B5:B131, "정산 및 관리자 기능", '출시_체크리스트'!F5:F131, "완료")</f>
        <v/>
      </c>
      <c r="D22" s="11">
        <f>COUNTIFS('출시_체크리스트'!B5:B131, "정산 및 관리자 기능", '출시_체크리스트'!F5:F131, "진행중")</f>
        <v/>
      </c>
      <c r="E22" s="11">
        <f>COUNTIFS('출시_체크리스트'!B5:B131, "정산 및 관리자 기능", '출시_체크리스트'!F5:F131, "미확인")</f>
        <v/>
      </c>
      <c r="F22" s="7">
        <f>IF(B22&gt;0, C22/B22, 0)</f>
        <v/>
      </c>
      <c r="G22" s="22" t="n"/>
    </row>
    <row r="23">
      <c r="A23" s="4" t="inlineStr">
        <is>
          <t>영수증 및 증빙</t>
        </is>
      </c>
      <c r="B23" s="11">
        <f>COUNTIF('출시_체크리스트'!B5:B131, "영수증 및 증빙")</f>
        <v/>
      </c>
      <c r="C23" s="11">
        <f>COUNTIFS('출시_체크리스트'!B5:B131, "영수증 및 증빙", '출시_체크리스트'!F5:F131, "완료")</f>
        <v/>
      </c>
      <c r="D23" s="11">
        <f>COUNTIFS('출시_체크리스트'!B5:B131, "영수증 및 증빙", '출시_체크리스트'!F5:F131, "진행중")</f>
        <v/>
      </c>
      <c r="E23" s="11">
        <f>COUNTIFS('출시_체크리스트'!B5:B131, "영수증 및 증빙", '출시_체크리스트'!F5:F131, "미확인")</f>
        <v/>
      </c>
      <c r="F23" s="7">
        <f>IF(B23&gt;0, C23/B23, 0)</f>
        <v/>
      </c>
      <c r="G23" s="22" t="n"/>
    </row>
    <row r="24">
      <c r="A24" s="4" t="inlineStr">
        <is>
          <t>운영 및 고객응대</t>
        </is>
      </c>
      <c r="B24" s="11">
        <f>COUNTIF('출시_체크리스트'!B5:B131, "운영 및 고객응대")</f>
        <v/>
      </c>
      <c r="C24" s="11">
        <f>COUNTIFS('출시_체크리스트'!B5:B131, "운영 및 고객응대", '출시_체크리스트'!F5:F131, "완료")</f>
        <v/>
      </c>
      <c r="D24" s="11">
        <f>COUNTIFS('출시_체크리스트'!B5:B131, "운영 및 고객응대", '출시_체크리스트'!F5:F131, "진행중")</f>
        <v/>
      </c>
      <c r="E24" s="11">
        <f>COUNTIFS('출시_체크리스트'!B5:B131, "운영 및 고객응대", '출시_체크리스트'!F5:F131, "미확인")</f>
        <v/>
      </c>
      <c r="F24" s="7">
        <f>IF(B24&gt;0, C24/B24, 0)</f>
        <v/>
      </c>
      <c r="G24" s="22" t="n"/>
    </row>
    <row r="25">
      <c r="A25" s="4" t="inlineStr">
        <is>
          <t>출시 전 테스트</t>
        </is>
      </c>
      <c r="B25" s="11">
        <f>COUNTIF('출시_체크리스트'!B5:B131, "출시 전 테스트")</f>
        <v/>
      </c>
      <c r="C25" s="11">
        <f>COUNTIFS('출시_체크리스트'!B5:B131, "출시 전 테스트", '출시_체크리스트'!F5:F131, "완료")</f>
        <v/>
      </c>
      <c r="D25" s="11">
        <f>COUNTIFS('출시_체크리스트'!B5:B131, "출시 전 테스트", '출시_체크리스트'!F5:F131, "진행중")</f>
        <v/>
      </c>
      <c r="E25" s="11">
        <f>COUNTIFS('출시_체크리스트'!B5:B131, "출시 전 테스트", '출시_체크리스트'!F5:F131, "미확인")</f>
        <v/>
      </c>
      <c r="F25" s="7">
        <f>IF(B25&gt;0, C25/B25, 0)</f>
        <v/>
      </c>
      <c r="G25" s="22" t="n"/>
    </row>
    <row r="26">
      <c r="A26" s="4" t="inlineStr">
        <is>
          <t>최종 출시 승인</t>
        </is>
      </c>
      <c r="B26" s="11">
        <f>COUNTIF('출시_체크리스트'!B5:B131, "최종 출시 승인")</f>
        <v/>
      </c>
      <c r="C26" s="11">
        <f>COUNTIFS('출시_체크리스트'!B5:B131, "최종 출시 승인", '출시_체크리스트'!F5:F131, "완료")</f>
        <v/>
      </c>
      <c r="D26" s="11">
        <f>COUNTIFS('출시_체크리스트'!B5:B131, "최종 출시 승인", '출시_체크리스트'!F5:F131, "진행중")</f>
        <v/>
      </c>
      <c r="E26" s="11">
        <f>COUNTIFS('출시_체크리스트'!B5:B131, "최종 출시 승인", '출시_체크리스트'!F5:F131, "미확인")</f>
        <v/>
      </c>
      <c r="F26" s="7">
        <f>IF(B26&gt;0, C26/B26, 0)</f>
        <v/>
      </c>
      <c r="G26" s="22" t="n"/>
    </row>
  </sheetData>
  <mergeCells count="24">
    <mergeCell ref="C6:G6"/>
    <mergeCell ref="F16:G16"/>
    <mergeCell ref="F19:G19"/>
    <mergeCell ref="F25:G25"/>
    <mergeCell ref="C5:G5"/>
    <mergeCell ref="F21:G21"/>
    <mergeCell ref="C4:G4"/>
    <mergeCell ref="F12:G12"/>
    <mergeCell ref="F24:G24"/>
    <mergeCell ref="F15:G15"/>
    <mergeCell ref="C10:G10"/>
    <mergeCell ref="F20:G20"/>
    <mergeCell ref="F18:G18"/>
    <mergeCell ref="F26:G26"/>
    <mergeCell ref="C9:G9"/>
    <mergeCell ref="F17:G17"/>
    <mergeCell ref="A1:G1"/>
    <mergeCell ref="F23:G23"/>
    <mergeCell ref="F22:G22"/>
    <mergeCell ref="F13:G13"/>
    <mergeCell ref="C8:G8"/>
    <mergeCell ref="C7:G7"/>
    <mergeCell ref="F14:G14"/>
    <mergeCell ref="C3:G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1"/>
  <sheetViews>
    <sheetView showGridLines="1" workbookViewId="0">
      <selection activeCell="A1" sqref="A1"/>
    </sheetView>
  </sheetViews>
  <sheetFormatPr baseColWidth="8" defaultRowHeight="15"/>
  <cols>
    <col width="8" customWidth="1" min="1" max="1"/>
    <col width="20" customWidth="1" min="2" max="2"/>
    <col width="10" customWidth="1" min="3" max="3"/>
    <col width="58" customWidth="1" min="4" max="4"/>
    <col width="18" customWidth="1" min="5" max="5"/>
    <col width="12" customWidth="1" min="6" max="6"/>
    <col width="54" customWidth="1" min="7" max="7"/>
    <col width="14" customWidth="1" min="8" max="8"/>
  </cols>
  <sheetData>
    <row r="1" ht="36" customHeight="1">
      <c r="A1" s="1" t="inlineStr">
        <is>
          <t>[데브늄] 부의금 카드결제 서비스 출시 전 전사 체크리스트 (실제 현황)</t>
        </is>
      </c>
    </row>
    <row r="2">
      <c r="A2" s="12" t="inlineStr">
        <is>
          <t>기준일: 2026-09-02 | 필수 항목 미완료 0건 및 대표님 최종 승인 시 런칭 | 상태: 완료(초록) / 진행중(노랑) / 미확인(살구)</t>
        </is>
      </c>
    </row>
    <row r="4" ht="24" customHeight="1">
      <c r="A4" s="13" t="inlineStr">
        <is>
          <t>번호</t>
        </is>
      </c>
      <c r="B4" s="13" t="inlineStr">
        <is>
          <t>분야</t>
        </is>
      </c>
      <c r="C4" s="13" t="inlineStr">
        <is>
          <t>중요도</t>
        </is>
      </c>
      <c r="D4" s="13" t="inlineStr">
        <is>
          <t>확인사항</t>
        </is>
      </c>
      <c r="E4" s="13" t="inlineStr">
        <is>
          <t>담당부서</t>
        </is>
      </c>
      <c r="F4" s="13" t="inlineStr">
        <is>
          <t>상태</t>
        </is>
      </c>
      <c r="G4" s="13" t="inlineStr">
        <is>
          <t>확인결과·실무근거</t>
        </is>
      </c>
      <c r="H4" s="13" t="inlineStr">
        <is>
          <t>완료(예정)일</t>
        </is>
      </c>
    </row>
    <row r="5">
      <c r="A5" s="5" t="n">
        <v>1</v>
      </c>
      <c r="B5" s="11" t="inlineStr">
        <is>
          <t>PG사 승인 및 계약</t>
        </is>
      </c>
      <c r="C5" s="5" t="inlineStr">
        <is>
          <t>필수</t>
        </is>
      </c>
      <c r="D5" s="14" t="inlineStr">
        <is>
          <t>데브늄이 단독 가맹점이자 서비스 제공자로 승인되었는가?</t>
        </is>
      </c>
      <c r="E5" s="11" t="inlineStr">
        <is>
          <t>대표/사업운영</t>
        </is>
      </c>
      <c r="F5" s="15" t="inlineStr">
        <is>
          <t>완료</t>
        </is>
      </c>
      <c r="G5" s="14" t="inlineStr">
        <is>
          <t>8/31 이노페이 부대표 미팅 완료, 단독 대표 가맹점 승인 완료</t>
        </is>
      </c>
      <c r="H5" s="11" t="inlineStr">
        <is>
          <t>2026-08-31</t>
        </is>
      </c>
    </row>
    <row r="6">
      <c r="A6" s="16" t="n">
        <v>2</v>
      </c>
      <c r="B6" s="17" t="inlineStr">
        <is>
          <t>PG사 승인 및 계약</t>
        </is>
      </c>
      <c r="C6" s="16" t="inlineStr">
        <is>
          <t>필수</t>
        </is>
      </c>
      <c r="D6" s="18" t="inlineStr">
        <is>
          <t>고객사는 하위가맹점이 아닌 제휴채널로 인정받았는가?</t>
        </is>
      </c>
      <c r="E6" s="17" t="inlineStr">
        <is>
          <t>대표/사업운영</t>
        </is>
      </c>
      <c r="F6" s="15" t="inlineStr">
        <is>
          <t>완료</t>
        </is>
      </c>
      <c r="G6" s="18" t="inlineStr">
        <is>
          <t>장례식장/부고온은 제휴 홍보채널로 규정, 하위가맹점 배제 합의</t>
        </is>
      </c>
      <c r="H6" s="17" t="inlineStr">
        <is>
          <t>2026-08-31</t>
        </is>
      </c>
    </row>
    <row r="7">
      <c r="A7" s="5" t="n">
        <v>3</v>
      </c>
      <c r="B7" s="11" t="inlineStr">
        <is>
          <t>PG사 승인 및 계약</t>
        </is>
      </c>
      <c r="C7" s="5" t="inlineStr">
        <is>
          <t>필수</t>
        </is>
      </c>
      <c r="D7" s="14" t="inlineStr">
        <is>
          <t>PG사와 고객사 간 직접 계약이 필요 없음을 확인했는가?</t>
        </is>
      </c>
      <c r="E7" s="11" t="inlineStr">
        <is>
          <t>대표/사업운영</t>
        </is>
      </c>
      <c r="F7" s="15" t="inlineStr">
        <is>
          <t>완료</t>
        </is>
      </c>
      <c r="G7" s="14" t="inlineStr">
        <is>
          <t>고객사-PG사 직계약 없음, 데브늄-고객사 제휴 계약만 체결</t>
        </is>
      </c>
      <c r="H7" s="11" t="inlineStr">
        <is>
          <t>2026-08-31</t>
        </is>
      </c>
    </row>
    <row r="8">
      <c r="A8" s="16" t="n">
        <v>4</v>
      </c>
      <c r="B8" s="17" t="inlineStr">
        <is>
          <t>PG사 승인 및 계약</t>
        </is>
      </c>
      <c r="C8" s="16" t="inlineStr">
        <is>
          <t>필수</t>
        </is>
      </c>
      <c r="D8" s="18" t="inlineStr">
        <is>
          <t>고객사 부고장·사이트·앱에서 서비스를 제공할 수 있는가?</t>
        </is>
      </c>
      <c r="E8" s="17" t="inlineStr">
        <is>
          <t>대표/사업운영</t>
        </is>
      </c>
      <c r="F8" s="15" t="inlineStr">
        <is>
          <t>완료</t>
        </is>
      </c>
      <c r="G8" s="18" t="inlineStr">
        <is>
          <t>URL 파라미터(?ref, ?partner) 및 웹뷰/iframe 연동 승인</t>
        </is>
      </c>
      <c r="H8" s="17" t="inlineStr">
        <is>
          <t>2026-08-31</t>
        </is>
      </c>
    </row>
    <row r="9">
      <c r="A9" s="5" t="n">
        <v>5</v>
      </c>
      <c r="B9" s="11" t="inlineStr">
        <is>
          <t>PG사 승인 및 계약</t>
        </is>
      </c>
      <c r="C9" s="5" t="inlineStr">
        <is>
          <t>필수</t>
        </is>
      </c>
      <c r="D9" s="14" t="inlineStr">
        <is>
          <t>PG사에 고객사명·도메인을 어디까지 제공해야 하는지 확인했는가?</t>
        </is>
      </c>
      <c r="E9" s="11" t="inlineStr">
        <is>
          <t>대표/사업운영</t>
        </is>
      </c>
      <c r="F9" s="15" t="inlineStr">
        <is>
          <t>완료</t>
        </is>
      </c>
      <c r="G9" s="14" t="inlineStr">
        <is>
          <t>platformId=md_iumbugo 등 매체코드로 식별하여 전송 합의</t>
        </is>
      </c>
      <c r="H9" s="11" t="inlineStr">
        <is>
          <t>2026-09-02</t>
        </is>
      </c>
    </row>
    <row r="10">
      <c r="A10" s="16" t="n">
        <v>6</v>
      </c>
      <c r="B10" s="17" t="inlineStr">
        <is>
          <t>PG사 승인 및 계약</t>
        </is>
      </c>
      <c r="C10" s="16" t="inlineStr">
        <is>
          <t>필수</t>
        </is>
      </c>
      <c r="D10" s="18" t="inlineStr">
        <is>
          <t>PG사가 고객사에 직접 영업하지 못하도록 비밀유지·영업금지 조항을 넣었는가?</t>
        </is>
      </c>
      <c r="E10" s="17" t="inlineStr">
        <is>
          <t>대표/사업운영</t>
        </is>
      </c>
      <c r="F10" s="19" t="inlineStr">
        <is>
          <t>진행중</t>
        </is>
      </c>
      <c r="G10" s="18" t="inlineStr">
        <is>
          <t>이노페이 가맹점 제휴 특약서 본안 법무 검토 중</t>
        </is>
      </c>
      <c r="H10" s="17" t="inlineStr">
        <is>
          <t>2026-09-04</t>
        </is>
      </c>
    </row>
    <row r="11">
      <c r="A11" s="5" t="n">
        <v>7</v>
      </c>
      <c r="B11" s="11" t="inlineStr">
        <is>
          <t>PG사 승인 및 계약</t>
        </is>
      </c>
      <c r="C11" s="5" t="inlineStr">
        <is>
          <t>필수</t>
        </is>
      </c>
      <c r="D11" s="14" t="inlineStr">
        <is>
          <t>PG사가 부의금 원금을 상주 계좌로 직접 지급할 수 있는가?</t>
        </is>
      </c>
      <c r="E11" s="11" t="inlineStr">
        <is>
          <t>대표/사업운영</t>
        </is>
      </c>
      <c r="F11" s="15" t="inlineStr">
        <is>
          <t>완료</t>
        </is>
      </c>
      <c r="G11" s="14" t="inlineStr">
        <is>
          <t>이노페이 정산 대행 모듈을 통한 상주 직접 송금 확인</t>
        </is>
      </c>
      <c r="H11" s="11" t="inlineStr">
        <is>
          <t>2026-08-31</t>
        </is>
      </c>
    </row>
    <row r="12">
      <c r="A12" s="16" t="n">
        <v>8</v>
      </c>
      <c r="B12" s="17" t="inlineStr">
        <is>
          <t>PG사 승인 및 계약</t>
        </is>
      </c>
      <c r="C12" s="16" t="inlineStr">
        <is>
          <t>필수</t>
        </is>
      </c>
      <c r="D12" s="18" t="inlineStr">
        <is>
          <t>상주를 가맹점이 아닌 지정 수취인으로 처리할 수 있는가?</t>
        </is>
      </c>
      <c r="E12" s="17" t="inlineStr">
        <is>
          <t>대표/사업운영</t>
        </is>
      </c>
      <c r="F12" s="15" t="inlineStr">
        <is>
          <t>완료</t>
        </is>
      </c>
      <c r="G12" s="18" t="inlineStr">
        <is>
          <t>여신전문금융업법상 비영리 증여금 수취인 구조 확정</t>
        </is>
      </c>
      <c r="H12" s="17" t="inlineStr">
        <is>
          <t>2026-08-31</t>
        </is>
      </c>
    </row>
    <row r="13">
      <c r="A13" s="5" t="n">
        <v>9</v>
      </c>
      <c r="B13" s="11" t="inlineStr">
        <is>
          <t>PG사 승인 및 계약</t>
        </is>
      </c>
      <c r="C13" s="5" t="inlineStr">
        <is>
          <t>필수</t>
        </is>
      </c>
      <c r="D13" s="14" t="inlineStr">
        <is>
          <t>서비스 이용료만 데브늄에 정산하는 구조가 승인되었는가?</t>
        </is>
      </c>
      <c r="E13" s="11" t="inlineStr">
        <is>
          <t>대표/사업운영</t>
        </is>
      </c>
      <c r="F13" s="15" t="inlineStr">
        <is>
          <t>완료</t>
        </is>
      </c>
      <c r="G13" s="14" t="inlineStr">
        <is>
          <t>총 수수료 8.6% 중 PG 원가 제외 서비스 이용료만 데브늄 정산</t>
        </is>
      </c>
      <c r="H13" s="11" t="inlineStr">
        <is>
          <t>2026-08-31</t>
        </is>
      </c>
    </row>
    <row r="14">
      <c r="A14" s="16" t="n">
        <v>10</v>
      </c>
      <c r="B14" s="17" t="inlineStr">
        <is>
          <t>PG사 승인 및 계약</t>
        </is>
      </c>
      <c r="C14" s="16" t="inlineStr">
        <is>
          <t>필수</t>
        </is>
      </c>
      <c r="D14" s="18" t="inlineStr">
        <is>
          <t>결제·정산 구조를 계약서 또는 부속합의서로 서면 승인받았는가?</t>
        </is>
      </c>
      <c r="E14" s="17" t="inlineStr">
        <is>
          <t>대표/사업운영</t>
        </is>
      </c>
      <c r="F14" s="19" t="inlineStr">
        <is>
          <t>진행중</t>
        </is>
      </c>
      <c r="G14" s="18" t="inlineStr">
        <is>
          <t>부속합의서 최종 날인 및 직인 날인 대기 중</t>
        </is>
      </c>
      <c r="H14" s="17" t="inlineStr">
        <is>
          <t>2026-09-04</t>
        </is>
      </c>
    </row>
    <row r="15">
      <c r="A15" s="5" t="n">
        <v>11</v>
      </c>
      <c r="B15" s="11" t="inlineStr">
        <is>
          <t>법률·회계 검토</t>
        </is>
      </c>
      <c r="C15" s="5" t="inlineStr">
        <is>
          <t>필수</t>
        </is>
      </c>
      <c r="D15" s="14" t="inlineStr">
        <is>
          <t>데브늄의 구조가 무등록 PG 또는 전자자금이체업에 해당하지 않는지 검토받았는가?</t>
        </is>
      </c>
      <c r="E15" s="11" t="inlineStr">
        <is>
          <t>대표/회계/법무</t>
        </is>
      </c>
      <c r="F15" s="15" t="inlineStr">
        <is>
          <t>완료</t>
        </is>
      </c>
      <c r="G15" s="14" t="inlineStr">
        <is>
          <t>전자금융거래법상 대금수령 대행 배제, PG사 정산으로 검토 완료</t>
        </is>
      </c>
      <c r="H15" s="11" t="inlineStr">
        <is>
          <t>2026-08-27</t>
        </is>
      </c>
    </row>
    <row r="16">
      <c r="A16" s="16" t="n">
        <v>12</v>
      </c>
      <c r="B16" s="17" t="inlineStr">
        <is>
          <t>법률·회계 검토</t>
        </is>
      </c>
      <c r="C16" s="16" t="inlineStr">
        <is>
          <t>필수</t>
        </is>
      </c>
      <c r="D16" s="18" t="inlineStr">
        <is>
          <t>8.6%가 PG 수수료 전가가 아닌 실제 서비스 이용료로 인정될 수 있는가?</t>
        </is>
      </c>
      <c r="E16" s="17" t="inlineStr">
        <is>
          <t>대표/회계/법무</t>
        </is>
      </c>
      <c r="F16" s="15" t="inlineStr">
        <is>
          <t>완료</t>
        </is>
      </c>
      <c r="G16" s="18" t="inlineStr">
        <is>
          <t>플랫폼 중개·알림톡·부고장 솔루션 이용료로 약관 및 계약서 명시</t>
        </is>
      </c>
      <c r="H16" s="17" t="inlineStr">
        <is>
          <t>2026-08-27</t>
        </is>
      </c>
    </row>
    <row r="17">
      <c r="A17" s="5" t="n">
        <v>13</v>
      </c>
      <c r="B17" s="11" t="inlineStr">
        <is>
          <t>법률·회계 검토</t>
        </is>
      </c>
      <c r="C17" s="5" t="inlineStr">
        <is>
          <t>필수</t>
        </is>
      </c>
      <c r="D17" s="14" t="inlineStr">
        <is>
          <t>서비스 이용료의 제공 내용과 산정 근거가 명확한가?</t>
        </is>
      </c>
      <c r="E17" s="11" t="inlineStr">
        <is>
          <t>대표/회계/법무</t>
        </is>
      </c>
      <c r="F17" s="15" t="inlineStr">
        <is>
          <t>완료</t>
        </is>
      </c>
      <c r="G17" s="14" t="inlineStr">
        <is>
          <t>모바일 부고장 템플릿, 결제 편의, 상주 정산 알림 제공 대가</t>
        </is>
      </c>
      <c r="H17" s="11" t="inlineStr">
        <is>
          <t>2026-08-27</t>
        </is>
      </c>
    </row>
    <row r="18">
      <c r="A18" s="16" t="n">
        <v>14</v>
      </c>
      <c r="B18" s="17" t="inlineStr">
        <is>
          <t>법률·회계 검토</t>
        </is>
      </c>
      <c r="C18" s="16" t="inlineStr">
        <is>
          <t>필수</t>
        </is>
      </c>
      <c r="D18" s="18" t="inlineStr">
        <is>
          <t>부의금 원금이 데브늄의 매출이 아니라는 회계처리를 확인했는가?</t>
        </is>
      </c>
      <c r="E18" s="17" t="inlineStr">
        <is>
          <t>대표/회계/법무</t>
        </is>
      </c>
      <c r="F18" s="15" t="inlineStr">
        <is>
          <t>완료</t>
        </is>
      </c>
      <c r="G18" s="18" t="inlineStr">
        <is>
          <t>원금은 예수금/통과계정 처리, 8.6% 이용료만 데브늄 매출 인식</t>
        </is>
      </c>
      <c r="H18" s="17" t="inlineStr">
        <is>
          <t>2026-08-27</t>
        </is>
      </c>
    </row>
    <row r="19">
      <c r="A19" s="5" t="n">
        <v>15</v>
      </c>
      <c r="B19" s="11" t="inlineStr">
        <is>
          <t>법률·회계 검토</t>
        </is>
      </c>
      <c r="C19" s="5" t="inlineStr">
        <is>
          <t>필수</t>
        </is>
      </c>
      <c r="D19" s="14" t="inlineStr">
        <is>
          <t>서비스 이용료의 부가세 처리 기준을 확인했는가?</t>
        </is>
      </c>
      <c r="E19" s="11" t="inlineStr">
        <is>
          <t>대표/회계/법무</t>
        </is>
      </c>
      <c r="F19" s="15" t="inlineStr">
        <is>
          <t>완료</t>
        </is>
      </c>
      <c r="G19" s="14" t="inlineStr">
        <is>
          <t>서비스 이용료 공급가액에 대한 부가세 10% 분리 회계 처리</t>
        </is>
      </c>
      <c r="H19" s="11" t="inlineStr">
        <is>
          <t>2026-08-27</t>
        </is>
      </c>
    </row>
    <row r="20">
      <c r="A20" s="16" t="n">
        <v>16</v>
      </c>
      <c r="B20" s="17" t="inlineStr">
        <is>
          <t>법률·회계 검토</t>
        </is>
      </c>
      <c r="C20" s="16" t="inlineStr">
        <is>
          <t>필수</t>
        </is>
      </c>
      <c r="D20" s="18" t="inlineStr">
        <is>
          <t>고객사 제휴·운영수수료의 세금계산서 처리 방법을 확인했는가?</t>
        </is>
      </c>
      <c r="E20" s="17" t="inlineStr">
        <is>
          <t>대표/회계/법무</t>
        </is>
      </c>
      <c r="F20" s="15" t="inlineStr">
        <is>
          <t>완료</t>
        </is>
      </c>
      <c r="G20" s="18" t="inlineStr">
        <is>
          <t>고객사가 데브늄에 홍보·유치 수수료 세금계산서 역발행</t>
        </is>
      </c>
      <c r="H20" s="17" t="inlineStr">
        <is>
          <t>2026-08-31</t>
        </is>
      </c>
    </row>
    <row r="21">
      <c r="A21" s="5" t="n">
        <v>17</v>
      </c>
      <c r="B21" s="11" t="inlineStr">
        <is>
          <t>법률·회계 검토</t>
        </is>
      </c>
      <c r="C21" s="5" t="inlineStr">
        <is>
          <t>필수</t>
        </is>
      </c>
      <c r="D21" s="14" t="inlineStr">
        <is>
          <t>취소·환불·차지백 발생 시 회계처리 기준을 정했는가?</t>
        </is>
      </c>
      <c r="E21" s="11" t="inlineStr">
        <is>
          <t>대표/회계/법무</t>
        </is>
      </c>
      <c r="F21" s="19" t="inlineStr">
        <is>
          <t>진행중</t>
        </is>
      </c>
      <c r="G21" s="14" t="inlineStr">
        <is>
          <t>당일 결제취소는 원복, 익일 이후 환불/차지백 처리 규정 작성 중</t>
        </is>
      </c>
      <c r="H21" s="11" t="inlineStr">
        <is>
          <t>2026-09-04</t>
        </is>
      </c>
    </row>
    <row r="22">
      <c r="A22" s="16" t="n">
        <v>18</v>
      </c>
      <c r="B22" s="17" t="inlineStr">
        <is>
          <t>법률·회계 검토</t>
        </is>
      </c>
      <c r="C22" s="16" t="inlineStr">
        <is>
          <t>필수</t>
        </is>
      </c>
      <c r="D22" s="18" t="inlineStr">
        <is>
          <t>회계사와 전자금융 전문 변호사의 검토를 받았는가?</t>
        </is>
      </c>
      <c r="E22" s="17" t="inlineStr">
        <is>
          <t>대표/회계/법무</t>
        </is>
      </c>
      <c r="F22" s="15" t="inlineStr">
        <is>
          <t>완료</t>
        </is>
      </c>
      <c r="G22" s="18" t="inlineStr">
        <is>
          <t>사내 자문 회계사 및 전자금융 법무 자문 1차 확인 완료</t>
        </is>
      </c>
      <c r="H22" s="17" t="inlineStr">
        <is>
          <t>2026-08-31</t>
        </is>
      </c>
    </row>
    <row r="23">
      <c r="A23" s="5" t="n">
        <v>19</v>
      </c>
      <c r="B23" s="11" t="inlineStr">
        <is>
          <t>고객사 계약</t>
        </is>
      </c>
      <c r="C23" s="5" t="inlineStr">
        <is>
          <t>필수</t>
        </is>
      </c>
      <c r="D23" s="14" t="inlineStr">
        <is>
          <t>고객사를 '서비스 제휴채널'로 명시했는가?</t>
        </is>
      </c>
      <c r="E23" s="11" t="inlineStr">
        <is>
          <t>사업운영</t>
        </is>
      </c>
      <c r="F23" s="15" t="inlineStr">
        <is>
          <t>완료</t>
        </is>
      </c>
      <c r="G23" s="14" t="inlineStr">
        <is>
          <t>B2B 제휴 계약서(07_B2B특약서)에 '제휴채널' 명시 완료</t>
        </is>
      </c>
      <c r="H23" s="11" t="inlineStr">
        <is>
          <t>2026-09-01</t>
        </is>
      </c>
    </row>
    <row r="24">
      <c r="A24" s="16" t="n">
        <v>20</v>
      </c>
      <c r="B24" s="17" t="inlineStr">
        <is>
          <t>고객사 계약</t>
        </is>
      </c>
      <c r="C24" s="16" t="inlineStr">
        <is>
          <t>필수</t>
        </is>
      </c>
      <c r="D24" s="18" t="inlineStr">
        <is>
          <t>고객사는 결제 서비스의 당사자가 아님을 명시했는가?</t>
        </is>
      </c>
      <c r="E24" s="17" t="inlineStr">
        <is>
          <t>사업운영</t>
        </is>
      </c>
      <c r="F24" s="15" t="inlineStr">
        <is>
          <t>완료</t>
        </is>
      </c>
      <c r="G24" s="18" t="inlineStr">
        <is>
          <t>특약서 제3조에 결제 당사자 면책 및 데브늄 책임 조항 삽입</t>
        </is>
      </c>
      <c r="H24" s="17" t="inlineStr">
        <is>
          <t>2026-09-01</t>
        </is>
      </c>
    </row>
    <row r="25">
      <c r="A25" s="5" t="n">
        <v>21</v>
      </c>
      <c r="B25" s="11" t="inlineStr">
        <is>
          <t>고객사 계약</t>
        </is>
      </c>
      <c r="C25" s="5" t="inlineStr">
        <is>
          <t>필수</t>
        </is>
      </c>
      <c r="D25" s="14" t="inlineStr">
        <is>
          <t>고객사가 카드 결제대금을 수령하지 않는다고 명시했는가?</t>
        </is>
      </c>
      <c r="E25" s="11" t="inlineStr">
        <is>
          <t>사업운영</t>
        </is>
      </c>
      <c r="F25" s="15" t="inlineStr">
        <is>
          <t>완료</t>
        </is>
      </c>
      <c r="G25" s="14" t="inlineStr">
        <is>
          <t>특약서 제4조에 대금 직접 수령 금지 조항 명시</t>
        </is>
      </c>
      <c r="H25" s="11" t="inlineStr">
        <is>
          <t>2026-09-01</t>
        </is>
      </c>
    </row>
    <row r="26">
      <c r="A26" s="16" t="n">
        <v>22</v>
      </c>
      <c r="B26" s="17" t="inlineStr">
        <is>
          <t>고객사 계약</t>
        </is>
      </c>
      <c r="C26" s="16" t="inlineStr">
        <is>
          <t>필수</t>
        </is>
      </c>
      <c r="D26" s="18" t="inlineStr">
        <is>
          <t>고객사가 부의금 원금을 보관하거나 상주에게 직접 정산하지 않는다고 명시했는가?</t>
        </is>
      </c>
      <c r="E26" s="17" t="inlineStr">
        <is>
          <t>사업운영</t>
        </is>
      </c>
      <c r="F26" s="15" t="inlineStr">
        <is>
          <t>완료</t>
        </is>
      </c>
      <c r="G26" s="18" t="inlineStr">
        <is>
          <t>특약서 제4조에 원금 보관 및 임의 정산 차단 조항 완비</t>
        </is>
      </c>
      <c r="H26" s="17" t="inlineStr">
        <is>
          <t>2026-09-01</t>
        </is>
      </c>
    </row>
    <row r="27">
      <c r="A27" s="5" t="n">
        <v>23</v>
      </c>
      <c r="B27" s="11" t="inlineStr">
        <is>
          <t>고객사 계약</t>
        </is>
      </c>
      <c r="C27" s="5" t="inlineStr">
        <is>
          <t>필수</t>
        </is>
      </c>
      <c r="D27" s="14" t="inlineStr">
        <is>
          <t>고객사가 결제수수료를 임의로 결정하지 못하도록 했는가?</t>
        </is>
      </c>
      <c r="E27" s="11" t="inlineStr">
        <is>
          <t>사업운영</t>
        </is>
      </c>
      <c r="F27" s="15" t="inlineStr">
        <is>
          <t>완료</t>
        </is>
      </c>
      <c r="G27" s="14" t="inlineStr">
        <is>
          <t>이용료 8.6% 고정 및 고객사 임의 변경 불가 조항 반영</t>
        </is>
      </c>
      <c r="H27" s="11" t="inlineStr">
        <is>
          <t>2026-09-01</t>
        </is>
      </c>
    </row>
    <row r="28">
      <c r="A28" s="16" t="n">
        <v>24</v>
      </c>
      <c r="B28" s="17" t="inlineStr">
        <is>
          <t>고객사 계약</t>
        </is>
      </c>
      <c r="C28" s="16" t="inlineStr">
        <is>
          <t>필수</t>
        </is>
      </c>
      <c r="D28" s="18" t="inlineStr">
        <is>
          <t>고객사가 취소·환불을 임의 승인하지 못하도록 했는가?</t>
        </is>
      </c>
      <c r="E28" s="17" t="inlineStr">
        <is>
          <t>사업운영</t>
        </is>
      </c>
      <c r="F28" s="15" t="inlineStr">
        <is>
          <t>완료</t>
        </is>
      </c>
      <c r="G28" s="18" t="inlineStr">
        <is>
          <t>취소/환불 권한은 데브늄 고객센터로 일원화 명시</t>
        </is>
      </c>
      <c r="H28" s="17" t="inlineStr">
        <is>
          <t>2026-09-01</t>
        </is>
      </c>
    </row>
    <row r="29">
      <c r="A29" s="5" t="n">
        <v>25</v>
      </c>
      <c r="B29" s="11" t="inlineStr">
        <is>
          <t>고객사 계약</t>
        </is>
      </c>
      <c r="C29" s="5" t="inlineStr">
        <is>
          <t>필수</t>
        </is>
      </c>
      <c r="D29" s="14" t="inlineStr">
        <is>
          <t>고객사가 자기 명의로 영수증을 발행하지 못하도록 했는가?</t>
        </is>
      </c>
      <c r="E29" s="11" t="inlineStr">
        <is>
          <t>사업운영</t>
        </is>
      </c>
      <c r="F29" s="15" t="inlineStr">
        <is>
          <t>완료</t>
        </is>
      </c>
      <c r="G29" s="14" t="inlineStr">
        <is>
          <t>영수증 발행 주체는 데브늄/PG사로 한정 명시</t>
        </is>
      </c>
      <c r="H29" s="11" t="inlineStr">
        <is>
          <t>2026-09-01</t>
        </is>
      </c>
    </row>
    <row r="30">
      <c r="A30" s="16" t="n">
        <v>26</v>
      </c>
      <c r="B30" s="17" t="inlineStr">
        <is>
          <t>고객사 계약</t>
        </is>
      </c>
      <c r="C30" s="16" t="inlineStr">
        <is>
          <t>필수</t>
        </is>
      </c>
      <c r="D30" s="18" t="inlineStr">
        <is>
          <t>고객사 수수료의 지급 기준과 제외 건을 명확히 정했는가?</t>
        </is>
      </c>
      <c r="E30" s="17" t="inlineStr">
        <is>
          <t>사업운영</t>
        </is>
      </c>
      <c r="F30" s="15" t="inlineStr">
        <is>
          <t>완료</t>
        </is>
      </c>
      <c r="G30" s="18" t="inlineStr">
        <is>
          <t>정상 결제 완료 건 기준, 취소/환불 건 제외 명시</t>
        </is>
      </c>
      <c r="H30" s="17" t="inlineStr">
        <is>
          <t>2026-09-01</t>
        </is>
      </c>
    </row>
    <row r="31">
      <c r="A31" s="5" t="n">
        <v>27</v>
      </c>
      <c r="B31" s="11" t="inlineStr">
        <is>
          <t>고객사 계약</t>
        </is>
      </c>
      <c r="C31" s="5" t="inlineStr">
        <is>
          <t>필수</t>
        </is>
      </c>
      <c r="D31" s="14" t="inlineStr">
        <is>
          <t>계약 종료 시 미정산금·고객정보 처리 기준을 정했는가?</t>
        </is>
      </c>
      <c r="E31" s="11" t="inlineStr">
        <is>
          <t>사업운영</t>
        </is>
      </c>
      <c r="F31" s="15" t="inlineStr">
        <is>
          <t>완료</t>
        </is>
      </c>
      <c r="G31" s="14" t="inlineStr">
        <is>
          <t>계약 종료 익월 말 정산 완결 및 30일 내 개인정보 파기</t>
        </is>
      </c>
      <c r="H31" s="11" t="inlineStr">
        <is>
          <t>2026-09-01</t>
        </is>
      </c>
    </row>
    <row r="32">
      <c r="A32" s="16" t="n">
        <v>28</v>
      </c>
      <c r="B32" s="17" t="inlineStr">
        <is>
          <t>고객사 수수료</t>
        </is>
      </c>
      <c r="C32" s="16" t="inlineStr">
        <is>
          <t>필수</t>
        </is>
      </c>
      <c r="D32" s="18" t="inlineStr">
        <is>
          <t>고객사 지급금을 PG 수수료 배분으로 표현하지 않는가?</t>
        </is>
      </c>
      <c r="E32" s="17" t="inlineStr">
        <is>
          <t>사업운영/회계</t>
        </is>
      </c>
      <c r="F32" s="15" t="inlineStr">
        <is>
          <t>완료</t>
        </is>
      </c>
      <c r="G32" s="18" t="inlineStr">
        <is>
          <t>계약서상 '홍보 및 채널 운영 대행 수수료'로 용어 정의</t>
        </is>
      </c>
      <c r="H32" s="17" t="inlineStr">
        <is>
          <t>2026-09-01</t>
        </is>
      </c>
    </row>
    <row r="33">
      <c r="A33" s="5" t="n">
        <v>29</v>
      </c>
      <c r="B33" s="11" t="inlineStr">
        <is>
          <t>고객사 수수료</t>
        </is>
      </c>
      <c r="C33" s="5" t="inlineStr">
        <is>
          <t>필수</t>
        </is>
      </c>
      <c r="D33" s="14" t="inlineStr">
        <is>
          <t>제휴·운영·서비스 노출·고객 유입의 대가로 계약했는가?</t>
        </is>
      </c>
      <c r="E33" s="11" t="inlineStr">
        <is>
          <t>사업운영/회계</t>
        </is>
      </c>
      <c r="F33" s="15" t="inlineStr">
        <is>
          <t>완료</t>
        </is>
      </c>
      <c r="G33" s="14" t="inlineStr">
        <is>
          <t>QR 포스터 비치 및 모바일 부고장 노출 대가로 규정</t>
        </is>
      </c>
      <c r="H33" s="11" t="inlineStr">
        <is>
          <t>2026-09-01</t>
        </is>
      </c>
    </row>
    <row r="34">
      <c r="A34" s="16" t="n">
        <v>30</v>
      </c>
      <c r="B34" s="17" t="inlineStr">
        <is>
          <t>고객사 수수료</t>
        </is>
      </c>
      <c r="C34" s="16" t="inlineStr">
        <is>
          <t>필수</t>
        </is>
      </c>
      <c r="D34" s="18" t="inlineStr">
        <is>
          <t>정상 지급 완료 건만 수수료 대상으로 정했는가?</t>
        </is>
      </c>
      <c r="E34" s="17" t="inlineStr">
        <is>
          <t>사업운영/회계</t>
        </is>
      </c>
      <c r="F34" s="15" t="inlineStr">
        <is>
          <t>완료</t>
        </is>
      </c>
      <c r="G34" s="18" t="inlineStr">
        <is>
          <t>상주 계좌 송금 완료 기준(D+1) 건에 한해 커미션 산정</t>
        </is>
      </c>
      <c r="H34" s="17" t="inlineStr">
        <is>
          <t>2026-09-01</t>
        </is>
      </c>
    </row>
    <row r="35">
      <c r="A35" s="5" t="n">
        <v>31</v>
      </c>
      <c r="B35" s="11" t="inlineStr">
        <is>
          <t>고객사 수수료</t>
        </is>
      </c>
      <c r="C35" s="5" t="inlineStr">
        <is>
          <t>필수</t>
        </is>
      </c>
      <c r="D35" s="14" t="inlineStr">
        <is>
          <t>취소·환불·부정결제·지급 실패 건을 제외하도록 했는가?</t>
        </is>
      </c>
      <c r="E35" s="11" t="inlineStr">
        <is>
          <t>사업운영/회계</t>
        </is>
      </c>
      <c r="F35" s="15" t="inlineStr">
        <is>
          <t>완료</t>
        </is>
      </c>
      <c r="G35" s="14" t="inlineStr">
        <is>
          <t>정산 대상 제외 기준 명확화</t>
        </is>
      </c>
      <c r="H35" s="11" t="inlineStr">
        <is>
          <t>2026-09-01</t>
        </is>
      </c>
    </row>
    <row r="36">
      <c r="A36" s="16" t="n">
        <v>32</v>
      </c>
      <c r="B36" s="17" t="inlineStr">
        <is>
          <t>고객사 수수료</t>
        </is>
      </c>
      <c r="C36" s="16" t="inlineStr">
        <is>
          <t>필수</t>
        </is>
      </c>
      <c r="D36" s="18" t="inlineStr">
        <is>
          <t>부의금 원금이 아닌 데브늄 서비스 이용료 매출을 기준으로 산정하는가?</t>
        </is>
      </c>
      <c r="E36" s="17" t="inlineStr">
        <is>
          <t>사업운영/회계</t>
        </is>
      </c>
      <c r="F36" s="15" t="inlineStr">
        <is>
          <t>완료</t>
        </is>
      </c>
      <c r="G36" s="18" t="inlineStr">
        <is>
          <t>A형(건당 3,000원)/B형(건당 1,500원) 정액 또는 이용료 기준 셰어</t>
        </is>
      </c>
      <c r="H36" s="17" t="inlineStr">
        <is>
          <t>2026-08-31</t>
        </is>
      </c>
    </row>
    <row r="37">
      <c r="A37" s="5" t="n">
        <v>33</v>
      </c>
      <c r="B37" s="11" t="inlineStr">
        <is>
          <t>고객사 수수료</t>
        </is>
      </c>
      <c r="C37" s="5" t="inlineStr">
        <is>
          <t>필수</t>
        </is>
      </c>
      <c r="D37" s="14" t="inlineStr">
        <is>
          <t>고객사가 데브늄에 세금계산서를 발행하도록 했는가?</t>
        </is>
      </c>
      <c r="E37" s="11" t="inlineStr">
        <is>
          <t>사업운영/회계</t>
        </is>
      </c>
      <c r="F37" s="15" t="inlineStr">
        <is>
          <t>완료</t>
        </is>
      </c>
      <c r="G37" s="14" t="inlineStr">
        <is>
          <t>익월 10일 세금계산서 수령 후 15일 정산금 지급 프로세스</t>
        </is>
      </c>
      <c r="H37" s="11" t="inlineStr">
        <is>
          <t>2026-08-31</t>
        </is>
      </c>
    </row>
    <row r="38">
      <c r="A38" s="16" t="n">
        <v>34</v>
      </c>
      <c r="B38" s="17" t="inlineStr">
        <is>
          <t>고객사 수수료</t>
        </is>
      </c>
      <c r="C38" s="16" t="inlineStr">
        <is>
          <t>필수</t>
        </is>
      </c>
      <c r="D38" s="18" t="inlineStr">
        <is>
          <t>고객사 수수료를 PG 정산금과 별도로 지급하는가?</t>
        </is>
      </c>
      <c r="E38" s="17" t="inlineStr">
        <is>
          <t>사업운영/회계</t>
        </is>
      </c>
      <c r="F38" s="15" t="inlineStr">
        <is>
          <t>완료</t>
        </is>
      </c>
      <c r="G38" s="18" t="inlineStr">
        <is>
          <t>데브늄 운영 법인통장에서 고객사로 별도 송금</t>
        </is>
      </c>
      <c r="H38" s="17" t="inlineStr">
        <is>
          <t>2026-08-31</t>
        </is>
      </c>
    </row>
    <row r="39">
      <c r="A39" s="5" t="n">
        <v>35</v>
      </c>
      <c r="B39" s="11" t="inlineStr">
        <is>
          <t>고객사 수수료</t>
        </is>
      </c>
      <c r="C39" s="5" t="inlineStr">
        <is>
          <t>필수</t>
        </is>
      </c>
      <c r="D39" s="14" t="inlineStr">
        <is>
          <t>부의금 원금과 고객사 수수료를 상계하지 않는가?</t>
        </is>
      </c>
      <c r="E39" s="11" t="inlineStr">
        <is>
          <t>사업운영/회계</t>
        </is>
      </c>
      <c r="F39" s="15" t="inlineStr">
        <is>
          <t>완료</t>
        </is>
      </c>
      <c r="G39" s="14" t="inlineStr">
        <is>
          <t>상계 처리 원천 차단 (별도 정산 계좌 운영)</t>
        </is>
      </c>
      <c r="H39" s="11" t="inlineStr">
        <is>
          <t>2026-08-31</t>
        </is>
      </c>
    </row>
    <row r="40">
      <c r="A40" s="16" t="n">
        <v>36</v>
      </c>
      <c r="B40" s="17" t="inlineStr">
        <is>
          <t>이용약관 및 결제화면</t>
        </is>
      </c>
      <c r="C40" s="16" t="inlineStr">
        <is>
          <t>필수</t>
        </is>
      </c>
      <c r="D40" s="18" t="inlineStr">
        <is>
          <t>이용자와 계약하는 주체가 데브늄으로 표시되는가?</t>
        </is>
      </c>
      <c r="E40" s="17" t="inlineStr">
        <is>
          <t>기획/개발</t>
        </is>
      </c>
      <c r="F40" s="15" t="inlineStr">
        <is>
          <t>완료</t>
        </is>
      </c>
      <c r="G40" s="18" t="inlineStr">
        <is>
          <t>부의페이 결제 화면 상단에 '서비스 제공: 데브늄' 명시</t>
        </is>
      </c>
      <c r="H40" s="17" t="inlineStr">
        <is>
          <t>2026-09-02</t>
        </is>
      </c>
    </row>
    <row r="41">
      <c r="A41" s="5" t="n">
        <v>37</v>
      </c>
      <c r="B41" s="11" t="inlineStr">
        <is>
          <t>이용약관 및 결제화면</t>
        </is>
      </c>
      <c r="C41" s="5" t="inlineStr">
        <is>
          <t>필수</t>
        </is>
      </c>
      <c r="D41" s="14" t="inlineStr">
        <is>
          <t>결제·지급·환불 책임자가 데브늄으로 표시되는가?</t>
        </is>
      </c>
      <c r="E41" s="11" t="inlineStr">
        <is>
          <t>기획/개발</t>
        </is>
      </c>
      <c r="F41" s="15" t="inlineStr">
        <is>
          <t>완료</t>
        </is>
      </c>
      <c r="G41" s="14" t="inlineStr">
        <is>
          <t>하단 고객센터 1544 및 데브늄 책임자 정보 노출 완료</t>
        </is>
      </c>
      <c r="H41" s="11" t="inlineStr">
        <is>
          <t>2026-09-02</t>
        </is>
      </c>
    </row>
    <row r="42">
      <c r="A42" s="16" t="n">
        <v>38</v>
      </c>
      <c r="B42" s="17" t="inlineStr">
        <is>
          <t>이용약관 및 결제화면</t>
        </is>
      </c>
      <c r="C42" s="16" t="inlineStr">
        <is>
          <t>필수</t>
        </is>
      </c>
      <c r="D42" s="18" t="inlineStr">
        <is>
          <t>고객사는 제휴채널로만 표시되는가?</t>
        </is>
      </c>
      <c r="E42" s="17" t="inlineStr">
        <is>
          <t>기획/개발</t>
        </is>
      </c>
      <c r="F42" s="15" t="inlineStr">
        <is>
          <t>완료</t>
        </is>
      </c>
      <c r="G42" s="18" t="inlineStr">
        <is>
          <t>장례식장/부고온은 '제휴 장례식장' 배지로만 노출</t>
        </is>
      </c>
      <c r="H42" s="17" t="inlineStr">
        <is>
          <t>2026-09-02</t>
        </is>
      </c>
    </row>
    <row r="43">
      <c r="A43" s="5" t="n">
        <v>39</v>
      </c>
      <c r="B43" s="11" t="inlineStr">
        <is>
          <t>이용약관 및 결제화면</t>
        </is>
      </c>
      <c r="C43" s="5" t="inlineStr">
        <is>
          <t>필수</t>
        </is>
      </c>
      <c r="D43" s="14" t="inlineStr">
        <is>
          <t>부의금 원금과 서비스 이용료가 결제 전에 구분 표시되는가?</t>
        </is>
      </c>
      <c r="E43" s="11" t="inlineStr">
        <is>
          <t>기획/개발</t>
        </is>
      </c>
      <c r="F43" s="15" t="inlineStr">
        <is>
          <t>완료</t>
        </is>
      </c>
      <c r="G43" s="14" t="inlineStr">
        <is>
          <t>부의금 50,000원 + 이용료 4,300원 = 총 54,300원 분리 표기</t>
        </is>
      </c>
      <c r="H43" s="11" t="inlineStr">
        <is>
          <t>2026-09-02</t>
        </is>
      </c>
    </row>
    <row r="44">
      <c r="A44" s="16" t="n">
        <v>40</v>
      </c>
      <c r="B44" s="17" t="inlineStr">
        <is>
          <t>이용약관 및 결제화면</t>
        </is>
      </c>
      <c r="C44" s="16" t="inlineStr">
        <is>
          <t>필수</t>
        </is>
      </c>
      <c r="D44" s="18" t="inlineStr">
        <is>
          <t>이용자가 총 결제금액을 명확히 확인할 수 있는가?</t>
        </is>
      </c>
      <c r="E44" s="17" t="inlineStr">
        <is>
          <t>기획/개발</t>
        </is>
      </c>
      <c r="F44" s="15" t="inlineStr">
        <is>
          <t>완료</t>
        </is>
      </c>
      <c r="G44" s="18" t="inlineStr">
        <is>
          <t>최종 결제 버튼에 '[54,300원 결제하기]' 명확히 노출</t>
        </is>
      </c>
      <c r="H44" s="17" t="inlineStr">
        <is>
          <t>2026-09-02</t>
        </is>
      </c>
    </row>
    <row r="45">
      <c r="A45" s="5" t="n">
        <v>41</v>
      </c>
      <c r="B45" s="11" t="inlineStr">
        <is>
          <t>이용약관 및 결제화면</t>
        </is>
      </c>
      <c r="C45" s="5" t="inlineStr">
        <is>
          <t>필수</t>
        </is>
      </c>
      <c r="D45" s="14" t="inlineStr">
        <is>
          <t>서비스 이용료로 승인 후 카드 취소 불가 안내가 명확한가?</t>
        </is>
      </c>
      <c r="E45" s="11" t="inlineStr">
        <is>
          <t>기획/개발</t>
        </is>
      </c>
      <c r="F45" s="15" t="inlineStr">
        <is>
          <t>완료</t>
        </is>
      </c>
      <c r="G45" s="14" t="inlineStr">
        <is>
          <t>'송금 완료 후 단순 변심 카드취소 불가' 붉은색 안내 고지</t>
        </is>
      </c>
      <c r="H45" s="11" t="inlineStr">
        <is>
          <t>2026-09-02</t>
        </is>
      </c>
    </row>
    <row r="46">
      <c r="A46" s="16" t="n">
        <v>42</v>
      </c>
      <c r="B46" s="17" t="inlineStr">
        <is>
          <t>이용약관 및 결제화면</t>
        </is>
      </c>
      <c r="C46" s="16" t="inlineStr">
        <is>
          <t>필수</t>
        </is>
      </c>
      <c r="D46" s="18" t="inlineStr">
        <is>
          <t>부의금 원금이 상주 계좌로 직접 송금된다는 내용이 고지되는가?</t>
        </is>
      </c>
      <c r="E46" s="17" t="inlineStr">
        <is>
          <t>기획/개발</t>
        </is>
      </c>
      <c r="F46" s="15" t="inlineStr">
        <is>
          <t>완료</t>
        </is>
      </c>
      <c r="G46" s="18" t="inlineStr">
        <is>
          <t>'부의금 원금은 상주님의 계좌로 즉시 전달됩니다' 고지 완료</t>
        </is>
      </c>
      <c r="H46" s="17" t="inlineStr">
        <is>
          <t>2026-09-02</t>
        </is>
      </c>
    </row>
    <row r="47">
      <c r="A47" s="5" t="n">
        <v>43</v>
      </c>
      <c r="B47" s="11" t="inlineStr">
        <is>
          <t>이용약관 및 결제화면</t>
        </is>
      </c>
      <c r="C47" s="5" t="inlineStr">
        <is>
          <t>필수</t>
        </is>
      </c>
      <c r="D47" s="14" t="inlineStr">
        <is>
          <t>전자금융거래 기본약관 및 개인정보 처리방침이 노출되는가?</t>
        </is>
      </c>
      <c r="E47" s="11" t="inlineStr">
        <is>
          <t>기획/개발</t>
        </is>
      </c>
      <c r="F47" s="15" t="inlineStr">
        <is>
          <t>완료</t>
        </is>
      </c>
      <c r="G47" s="14" t="inlineStr">
        <is>
          <t>결제창 하단 전자금융약관 전문 모달 링크 완비</t>
        </is>
      </c>
      <c r="H47" s="11" t="inlineStr">
        <is>
          <t>2026-09-02</t>
        </is>
      </c>
    </row>
    <row r="48">
      <c r="A48" s="16" t="n">
        <v>44</v>
      </c>
      <c r="B48" s="17" t="inlineStr">
        <is>
          <t>이용약관 및 결제화면</t>
        </is>
      </c>
      <c r="C48" s="16" t="inlineStr">
        <is>
          <t>필수</t>
        </is>
      </c>
      <c r="D48" s="18" t="inlineStr">
        <is>
          <t>PG사의 가맹점명(데브늄)이 결제창에 정확히 노출되는가?</t>
        </is>
      </c>
      <c r="E48" s="17" t="inlineStr">
        <is>
          <t>기획/개발</t>
        </is>
      </c>
      <c r="F48" s="15" t="inlineStr">
        <is>
          <t>완료</t>
        </is>
      </c>
      <c r="G48" s="18" t="inlineStr">
        <is>
          <t>이노페이 결제 모듈 가맹점명 '주식회사 데브늄' 노출 확인</t>
        </is>
      </c>
      <c r="H48" s="17" t="inlineStr">
        <is>
          <t>2026-09-02</t>
        </is>
      </c>
    </row>
    <row r="49">
      <c r="A49" s="5" t="n">
        <v>45</v>
      </c>
      <c r="B49" s="11" t="inlineStr">
        <is>
          <t>이용약관 및 결제화면</t>
        </is>
      </c>
      <c r="C49" s="5" t="inlineStr">
        <is>
          <t>필수</t>
        </is>
      </c>
      <c r="D49" s="14" t="inlineStr">
        <is>
          <t>잘못된 상주나 금액 선택에 대한 책임 기준을 고지하는가?</t>
        </is>
      </c>
      <c r="E49" s="11" t="inlineStr">
        <is>
          <t>기획/개발</t>
        </is>
      </c>
      <c r="F49" s="15" t="inlineStr">
        <is>
          <t>완료</t>
        </is>
      </c>
      <c r="G49" s="14" t="inlineStr">
        <is>
          <t>상주 성함/계좌번호 오입력에 대한 면책 및 확인 팝업 적용</t>
        </is>
      </c>
      <c r="H49" s="11" t="inlineStr">
        <is>
          <t>2026-09-02</t>
        </is>
      </c>
    </row>
    <row r="50">
      <c r="A50" s="16" t="n">
        <v>46</v>
      </c>
      <c r="B50" s="17" t="inlineStr">
        <is>
          <t>상주 및 계좌 확인</t>
        </is>
      </c>
      <c r="C50" s="16" t="inlineStr">
        <is>
          <t>필수</t>
        </is>
      </c>
      <c r="D50" s="18" t="inlineStr">
        <is>
          <t>상주의 본인확인 절차가 있는가?</t>
        </is>
      </c>
      <c r="E50" s="17" t="inlineStr">
        <is>
          <t>기획/개발/운영</t>
        </is>
      </c>
      <c r="F50" s="15" t="inlineStr">
        <is>
          <t>완료</t>
        </is>
      </c>
      <c r="G50" s="18" t="inlineStr">
        <is>
          <t>부고장 생성 시 상주 휴대폰 본인인증(PASS/SMS) 연동</t>
        </is>
      </c>
      <c r="H50" s="17" t="inlineStr">
        <is>
          <t>2026-09-02</t>
        </is>
      </c>
    </row>
    <row r="51">
      <c r="A51" s="5" t="n">
        <v>47</v>
      </c>
      <c r="B51" s="11" t="inlineStr">
        <is>
          <t>상주 및 계좌 확인</t>
        </is>
      </c>
      <c r="C51" s="5" t="inlineStr">
        <is>
          <t>필수</t>
        </is>
      </c>
      <c r="D51" s="14" t="inlineStr">
        <is>
          <t>상주 계좌의 예금주 일치 확인 절차가 있는가?</t>
        </is>
      </c>
      <c r="E51" s="11" t="inlineStr">
        <is>
          <t>기획/개발/운영</t>
        </is>
      </c>
      <c r="F51" s="19" t="inlineStr">
        <is>
          <t>진행중</t>
        </is>
      </c>
      <c r="G51" s="14" t="inlineStr">
        <is>
          <t>금융결제원 1원 인증/예금주 성명조회 API 연동 테스트 중</t>
        </is>
      </c>
      <c r="H51" s="11" t="inlineStr">
        <is>
          <t>2026-09-04</t>
        </is>
      </c>
    </row>
    <row r="52">
      <c r="A52" s="16" t="n">
        <v>48</v>
      </c>
      <c r="B52" s="17" t="inlineStr">
        <is>
          <t>상주 및 계좌 확인</t>
        </is>
      </c>
      <c r="C52" s="16" t="inlineStr">
        <is>
          <t>필수</t>
        </is>
      </c>
      <c r="D52" s="18" t="inlineStr">
        <is>
          <t>상주와 예금주가 다른 경우 처리 기준이 있는가?</t>
        </is>
      </c>
      <c r="E52" s="17" t="inlineStr">
        <is>
          <t>기획/개발/운영</t>
        </is>
      </c>
      <c r="F52" s="15" t="inlineStr">
        <is>
          <t>완료</t>
        </is>
      </c>
      <c r="G52" s="18" t="inlineStr">
        <is>
          <t>가족관계 증빙 또는 대표상주 위임 확인 절차 수립</t>
        </is>
      </c>
      <c r="H52" s="17" t="inlineStr">
        <is>
          <t>2026-09-02</t>
        </is>
      </c>
    </row>
    <row r="53">
      <c r="A53" s="5" t="n">
        <v>49</v>
      </c>
      <c r="B53" s="11" t="inlineStr">
        <is>
          <t>상주 및 계좌 확인</t>
        </is>
      </c>
      <c r="C53" s="5" t="inlineStr">
        <is>
          <t>필수</t>
        </is>
      </c>
      <c r="D53" s="14" t="inlineStr">
        <is>
          <t>장례식장·장례지도사·고객사를 통한 상주 검증 기준이 있는가?</t>
        </is>
      </c>
      <c r="E53" s="11" t="inlineStr">
        <is>
          <t>기획/개발/운영</t>
        </is>
      </c>
      <c r="F53" s="15" t="inlineStr">
        <is>
          <t>완료</t>
        </is>
      </c>
      <c r="G53" s="14" t="inlineStr">
        <is>
          <t>B2B 파트너 전용 QR로 생성된 부고는 식장 교차 검증</t>
        </is>
      </c>
      <c r="H53" s="11" t="inlineStr">
        <is>
          <t>2026-09-02</t>
        </is>
      </c>
    </row>
    <row r="54">
      <c r="A54" s="16" t="n">
        <v>50</v>
      </c>
      <c r="B54" s="17" t="inlineStr">
        <is>
          <t>상주 및 계좌 확인</t>
        </is>
      </c>
      <c r="C54" s="16" t="inlineStr">
        <is>
          <t>필수</t>
        </is>
      </c>
      <c r="D54" s="18" t="inlineStr">
        <is>
          <t>계좌 변경 시 추가 인증 절차가 있는가?</t>
        </is>
      </c>
      <c r="E54" s="17" t="inlineStr">
        <is>
          <t>기획/개발/운영</t>
        </is>
      </c>
      <c r="F54" s="15" t="inlineStr">
        <is>
          <t>완료</t>
        </is>
      </c>
      <c r="G54" s="18" t="inlineStr">
        <is>
          <t>부고장 수정 시 상주 휴대폰 재인증 필수 적용</t>
        </is>
      </c>
      <c r="H54" s="17" t="inlineStr">
        <is>
          <t>2026-09-02</t>
        </is>
      </c>
    </row>
    <row r="55">
      <c r="A55" s="5" t="n">
        <v>51</v>
      </c>
      <c r="B55" s="11" t="inlineStr">
        <is>
          <t>상주 및 계좌 확인</t>
        </is>
      </c>
      <c r="C55" s="5" t="inlineStr">
        <is>
          <t>필수</t>
        </is>
      </c>
      <c r="D55" s="14" t="inlineStr">
        <is>
          <t>지급 전 계좌 상태(정상/해지/사고계좌)를 확인할 수 있는가?</t>
        </is>
      </c>
      <c r="E55" s="11" t="inlineStr">
        <is>
          <t>기획/개발/운영</t>
        </is>
      </c>
      <c r="F55" s="19" t="inlineStr">
        <is>
          <t>진행중</t>
        </is>
      </c>
      <c r="G55" s="14" t="inlineStr">
        <is>
          <t>PG 송금 모듈의 수취계좌 유효성 사전 체크 적용 중</t>
        </is>
      </c>
      <c r="H55" s="11" t="inlineStr">
        <is>
          <t>2026-09-04</t>
        </is>
      </c>
    </row>
    <row r="56">
      <c r="A56" s="16" t="n">
        <v>52</v>
      </c>
      <c r="B56" s="17" t="inlineStr">
        <is>
          <t>상주 및 계좌 확인</t>
        </is>
      </c>
      <c r="C56" s="16" t="inlineStr">
        <is>
          <t>필수</t>
        </is>
      </c>
      <c r="D56" s="18" t="inlineStr">
        <is>
          <t>지급 실패 시 자동취소 또는 재처리 기준이 있는가?</t>
        </is>
      </c>
      <c r="E56" s="17" t="inlineStr">
        <is>
          <t>기획/개발/운영</t>
        </is>
      </c>
      <c r="F56" s="15" t="inlineStr">
        <is>
          <t>완료</t>
        </is>
      </c>
      <c r="G56" s="18" t="inlineStr">
        <is>
          <t>계좌 오류 시 카드 승인 즉시 자동 취소 로직 구현</t>
        </is>
      </c>
      <c r="H56" s="17" t="inlineStr">
        <is>
          <t>2026-09-02</t>
        </is>
      </c>
    </row>
    <row r="57">
      <c r="A57" s="5" t="n">
        <v>53</v>
      </c>
      <c r="B57" s="11" t="inlineStr">
        <is>
          <t>상주 및 계좌 확인</t>
        </is>
      </c>
      <c r="C57" s="5" t="inlineStr">
        <is>
          <t>필수</t>
        </is>
      </c>
      <c r="D57" s="14" t="inlineStr">
        <is>
          <t>동일 상주·동일 결제자의 중복결제를 감지할 수 있는가?</t>
        </is>
      </c>
      <c r="E57" s="11" t="inlineStr">
        <is>
          <t>기획/개발/운영</t>
        </is>
      </c>
      <c r="F57" s="15" t="inlineStr">
        <is>
          <t>완료</t>
        </is>
      </c>
      <c r="G57" s="14" t="inlineStr">
        <is>
          <t>5분 이내 동일 카드/동일 금액 중복 결제 시 확인 모달 호출</t>
        </is>
      </c>
      <c r="H57" s="11" t="inlineStr">
        <is>
          <t>2026-09-02</t>
        </is>
      </c>
    </row>
    <row r="58">
      <c r="A58" s="16" t="n">
        <v>54</v>
      </c>
      <c r="B58" s="17" t="inlineStr">
        <is>
          <t>취소·환불·차지백</t>
        </is>
      </c>
      <c r="C58" s="16" t="inlineStr">
        <is>
          <t>필수</t>
        </is>
      </c>
      <c r="D58" s="18" t="inlineStr">
        <is>
          <t>지급 전 결제취소 기준을 정했는가?</t>
        </is>
      </c>
      <c r="E58" s="17" t="inlineStr">
        <is>
          <t>사업운영/개발</t>
        </is>
      </c>
      <c r="F58" s="15" t="inlineStr">
        <is>
          <t>완료</t>
        </is>
      </c>
      <c r="G58" s="18" t="inlineStr">
        <is>
          <t>송금 실행 전(결제 후 10분 이내) 조문객 직접 취소 버튼 지원</t>
        </is>
      </c>
      <c r="H58" s="17" t="inlineStr">
        <is>
          <t>2026-09-02</t>
        </is>
      </c>
    </row>
    <row r="59">
      <c r="A59" s="5" t="n">
        <v>55</v>
      </c>
      <c r="B59" s="11" t="inlineStr">
        <is>
          <t>취소·환불·차지백</t>
        </is>
      </c>
      <c r="C59" s="5" t="inlineStr">
        <is>
          <t>필수</t>
        </is>
      </c>
      <c r="D59" s="14" t="inlineStr">
        <is>
          <t>지급 후 취소가 가능한 예외 사유를 정했는가?</t>
        </is>
      </c>
      <c r="E59" s="11" t="inlineStr">
        <is>
          <t>사업운영/개발</t>
        </is>
      </c>
      <c r="F59" s="15" t="inlineStr">
        <is>
          <t>완료</t>
        </is>
      </c>
      <c r="G59" s="14" t="inlineStr">
        <is>
          <t>도용/명의사고/사망자 착오 건에 한해 상주 동의 후 수동 환불</t>
        </is>
      </c>
      <c r="H59" s="11" t="inlineStr">
        <is>
          <t>2026-09-02</t>
        </is>
      </c>
    </row>
    <row r="60">
      <c r="A60" s="16" t="n">
        <v>56</v>
      </c>
      <c r="B60" s="17" t="inlineStr">
        <is>
          <t>취소·환불·차지백</t>
        </is>
      </c>
      <c r="C60" s="16" t="inlineStr">
        <is>
          <t>필수</t>
        </is>
      </c>
      <c r="D60" s="18" t="inlineStr">
        <is>
          <t>중복결제 발생 시 처리 절차가 있는가?</t>
        </is>
      </c>
      <c r="E60" s="17" t="inlineStr">
        <is>
          <t>사업운영/개발</t>
        </is>
      </c>
      <c r="F60" s="15" t="inlineStr">
        <is>
          <t>완료</t>
        </is>
      </c>
      <c r="G60" s="18" t="inlineStr">
        <is>
          <t>중복 승인 건 즉시 카드 부분 취소 및 상주 안내</t>
        </is>
      </c>
      <c r="H60" s="17" t="inlineStr">
        <is>
          <t>2026-09-02</t>
        </is>
      </c>
    </row>
    <row r="61">
      <c r="A61" s="5" t="n">
        <v>57</v>
      </c>
      <c r="B61" s="11" t="inlineStr">
        <is>
          <t>취소·환불·차지백</t>
        </is>
      </c>
      <c r="C61" s="5" t="inlineStr">
        <is>
          <t>필수</t>
        </is>
      </c>
      <c r="D61" s="14" t="inlineStr">
        <is>
          <t>시스템 오류 결제 처리 절차가 있는가?</t>
        </is>
      </c>
      <c r="E61" s="11" t="inlineStr">
        <is>
          <t>사업운영/개발</t>
        </is>
      </c>
      <c r="F61" s="15" t="inlineStr">
        <is>
          <t>완료</t>
        </is>
      </c>
      <c r="G61" s="14" t="inlineStr">
        <is>
          <t>망 취소(Network Cancel) 및 DB 롤백 자동화 완료</t>
        </is>
      </c>
      <c r="H61" s="11" t="inlineStr">
        <is>
          <t>2026-09-02</t>
        </is>
      </c>
    </row>
    <row r="62">
      <c r="A62" s="16" t="n">
        <v>58</v>
      </c>
      <c r="B62" s="17" t="inlineStr">
        <is>
          <t>취소·환불·차지백</t>
        </is>
      </c>
      <c r="C62" s="16" t="inlineStr">
        <is>
          <t>필수</t>
        </is>
      </c>
      <c r="D62" s="18" t="inlineStr">
        <is>
          <t>도용·부정결제 처리 절차가 있는가?</t>
        </is>
      </c>
      <c r="E62" s="17" t="inlineStr">
        <is>
          <t>사업운영/개발</t>
        </is>
      </c>
      <c r="F62" s="19" t="inlineStr">
        <is>
          <t>진행중</t>
        </is>
      </c>
      <c r="G62" s="18" t="inlineStr">
        <is>
          <t>FDS 사고 접수 시 30분 내 상주 송금 보류 및 카드사 소명</t>
        </is>
      </c>
      <c r="H62" s="17" t="inlineStr">
        <is>
          <t>2026-09-04</t>
        </is>
      </c>
    </row>
    <row r="63">
      <c r="A63" s="5" t="n">
        <v>59</v>
      </c>
      <c r="B63" s="11" t="inlineStr">
        <is>
          <t>취소·환불·차지백</t>
        </is>
      </c>
      <c r="C63" s="5" t="inlineStr">
        <is>
          <t>필수</t>
        </is>
      </c>
      <c r="D63" s="14" t="inlineStr">
        <is>
          <t>상주 계좌 지급 실패 시 자동취소되는가?</t>
        </is>
      </c>
      <c r="E63" s="11" t="inlineStr">
        <is>
          <t>사업운영/개발</t>
        </is>
      </c>
      <c r="F63" s="15" t="inlineStr">
        <is>
          <t>완료</t>
        </is>
      </c>
      <c r="G63" s="14" t="inlineStr">
        <is>
          <t>송금 응답 에러코드 수신 시 카드 승인 자동 망취소 처리</t>
        </is>
      </c>
      <c r="H63" s="11" t="inlineStr">
        <is>
          <t>2026-09-02</t>
        </is>
      </c>
    </row>
    <row r="64">
      <c r="A64" s="16" t="n">
        <v>60</v>
      </c>
      <c r="B64" s="17" t="inlineStr">
        <is>
          <t>취소·환불·차지백</t>
        </is>
      </c>
      <c r="C64" s="16" t="inlineStr">
        <is>
          <t>필수</t>
        </is>
      </c>
      <c r="D64" s="18" t="inlineStr">
        <is>
          <t>지급 완료 후 차지백이 발생하면 누가 부담하는지 정했는가?</t>
        </is>
      </c>
      <c r="E64" s="17" t="inlineStr">
        <is>
          <t>사업운영/개발</t>
        </is>
      </c>
      <c r="F64" s="15" t="inlineStr">
        <is>
          <t>완료</t>
        </is>
      </c>
      <c r="G64" s="18" t="inlineStr">
        <is>
          <t>사고 발생 시 데브늄 예치금에서 우선 대위변제 후 상주 구상</t>
        </is>
      </c>
      <c r="H64" s="17" t="inlineStr">
        <is>
          <t>2026-08-31</t>
        </is>
      </c>
    </row>
    <row r="65">
      <c r="A65" s="5" t="n">
        <v>61</v>
      </c>
      <c r="B65" s="11" t="inlineStr">
        <is>
          <t>취소·환불·차지백</t>
        </is>
      </c>
      <c r="C65" s="5" t="inlineStr">
        <is>
          <t>필수</t>
        </is>
      </c>
      <c r="D65" s="14" t="inlineStr">
        <is>
          <t>고객사 수수료 환수 기준을 정했는가?</t>
        </is>
      </c>
      <c r="E65" s="11" t="inlineStr">
        <is>
          <t>사업운영/개발</t>
        </is>
      </c>
      <c r="F65" s="15" t="inlineStr">
        <is>
          <t>완료</t>
        </is>
      </c>
      <c r="G65" s="14" t="inlineStr">
        <is>
          <t>취소/차지백 건은 익월 고객사 정산 시 전액 차감 환수</t>
        </is>
      </c>
      <c r="H65" s="11" t="inlineStr">
        <is>
          <t>2026-09-01</t>
        </is>
      </c>
    </row>
    <row r="66">
      <c r="A66" s="16" t="n">
        <v>62</v>
      </c>
      <c r="B66" s="17" t="inlineStr">
        <is>
          <t>취소·환불·차지백</t>
        </is>
      </c>
      <c r="C66" s="16" t="inlineStr">
        <is>
          <t>필수</t>
        </is>
      </c>
      <c r="D66" s="18" t="inlineStr">
        <is>
          <t>취소·환불 처리기한과 담당자를 지정했는가?</t>
        </is>
      </c>
      <c r="E66" s="17" t="inlineStr">
        <is>
          <t>사업운영/개발</t>
        </is>
      </c>
      <c r="F66" s="15" t="inlineStr">
        <is>
          <t>완료</t>
        </is>
      </c>
      <c r="G66" s="18" t="inlineStr">
        <is>
          <t>운영팀 이승훈 차장 총괄 / 접수 후 24시간 내 처리 규정</t>
        </is>
      </c>
      <c r="H66" s="17" t="inlineStr">
        <is>
          <t>2026-09-02</t>
        </is>
      </c>
    </row>
    <row r="67">
      <c r="A67" s="5" t="n">
        <v>63</v>
      </c>
      <c r="B67" s="11" t="inlineStr">
        <is>
          <t>부정결제 및 사고 방지</t>
        </is>
      </c>
      <c r="C67" s="5" t="inlineStr">
        <is>
          <t>필수</t>
        </is>
      </c>
      <c r="D67" s="14" t="inlineStr">
        <is>
          <t>결제자 본인인증을 적용했는가?</t>
        </is>
      </c>
      <c r="E67" s="11" t="inlineStr">
        <is>
          <t>개발/정보보호</t>
        </is>
      </c>
      <c r="F67" s="15" t="inlineStr">
        <is>
          <t>완료</t>
        </is>
      </c>
      <c r="G67" s="14" t="inlineStr">
        <is>
          <t>카드사 ISP/앱카드 본인인증 및 휴대폰 SMS 인증 적용</t>
        </is>
      </c>
      <c r="H67" s="11" t="inlineStr">
        <is>
          <t>2026-09-02</t>
        </is>
      </c>
    </row>
    <row r="68">
      <c r="A68" s="16" t="n">
        <v>64</v>
      </c>
      <c r="B68" s="17" t="inlineStr">
        <is>
          <t>부정결제 및 사고 방지</t>
        </is>
      </c>
      <c r="C68" s="16" t="inlineStr">
        <is>
          <t>필수</t>
        </is>
      </c>
      <c r="D68" s="18" t="inlineStr">
        <is>
          <t>결제금액 및 일일 결제한도를 설정했는가?</t>
        </is>
      </c>
      <c r="E68" s="17" t="inlineStr">
        <is>
          <t>개발/정보보호</t>
        </is>
      </c>
      <c r="F68" s="15" t="inlineStr">
        <is>
          <t>완료</t>
        </is>
      </c>
      <c r="G68" s="18" t="inlineStr">
        <is>
          <t>1회 최대 100만 원 / 1일 최대 300만 원 한도 설정</t>
        </is>
      </c>
      <c r="H68" s="17" t="inlineStr">
        <is>
          <t>2026-09-02</t>
        </is>
      </c>
    </row>
    <row r="69">
      <c r="A69" s="5" t="n">
        <v>65</v>
      </c>
      <c r="B69" s="11" t="inlineStr">
        <is>
          <t>부정결제 및 사고 방지</t>
        </is>
      </c>
      <c r="C69" s="5" t="inlineStr">
        <is>
          <t>필수</t>
        </is>
      </c>
      <c r="D69" s="14" t="inlineStr">
        <is>
          <t>동일 카드 반복결제 탐지 기준이 있는가?</t>
        </is>
      </c>
      <c r="E69" s="11" t="inlineStr">
        <is>
          <t>개발/정보보호</t>
        </is>
      </c>
      <c r="F69" s="15" t="inlineStr">
        <is>
          <t>완료</t>
        </is>
      </c>
      <c r="G69" s="14" t="inlineStr">
        <is>
          <t>동일 카드 1일 5회 이상 결제 시 추가 FDS 룰 검증</t>
        </is>
      </c>
      <c r="H69" s="11" t="inlineStr">
        <is>
          <t>2026-09-02</t>
        </is>
      </c>
    </row>
    <row r="70">
      <c r="A70" s="16" t="n">
        <v>66</v>
      </c>
      <c r="B70" s="17" t="inlineStr">
        <is>
          <t>부정결제 및 사고 방지</t>
        </is>
      </c>
      <c r="C70" s="16" t="inlineStr">
        <is>
          <t>필수</t>
        </is>
      </c>
      <c r="D70" s="18" t="inlineStr">
        <is>
          <t>동일 계좌로 비정상적인 결제가 집중되는지 탐지할 수 있는가?</t>
        </is>
      </c>
      <c r="E70" s="17" t="inlineStr">
        <is>
          <t>개발/정보보호</t>
        </is>
      </c>
      <c r="F70" s="15" t="inlineStr">
        <is>
          <t>완료</t>
        </is>
      </c>
      <c r="G70" s="18" t="inlineStr">
        <is>
          <t>1일 2,000만 원 이상 급증 시 어드민 이상 알림 발송</t>
        </is>
      </c>
      <c r="H70" s="17" t="inlineStr">
        <is>
          <t>2026-09-02</t>
        </is>
      </c>
    </row>
    <row r="71">
      <c r="A71" s="5" t="n">
        <v>67</v>
      </c>
      <c r="B71" s="11" t="inlineStr">
        <is>
          <t>부정결제 및 사고 방지</t>
        </is>
      </c>
      <c r="C71" s="5" t="inlineStr">
        <is>
          <t>필수</t>
        </is>
      </c>
      <c r="D71" s="14" t="inlineStr">
        <is>
          <t>고액·반복·심야 결제에 대한 추가 확인 기준이 있는가?</t>
        </is>
      </c>
      <c r="E71" s="11" t="inlineStr">
        <is>
          <t>개발/정보보호</t>
        </is>
      </c>
      <c r="F71" s="15" t="inlineStr">
        <is>
          <t>완료</t>
        </is>
      </c>
      <c r="G71" s="14" t="inlineStr">
        <is>
          <t>새벽 2시~5시 고액 결제 시 이상징후 플래그 설정</t>
        </is>
      </c>
      <c r="H71" s="11" t="inlineStr">
        <is>
          <t>2026-09-02</t>
        </is>
      </c>
    </row>
    <row r="72">
      <c r="A72" s="16" t="n">
        <v>68</v>
      </c>
      <c r="B72" s="17" t="inlineStr">
        <is>
          <t>부정결제 및 사고 방지</t>
        </is>
      </c>
      <c r="C72" s="16" t="inlineStr">
        <is>
          <t>필수</t>
        </is>
      </c>
      <c r="D72" s="18" t="inlineStr">
        <is>
          <t>의심거래를 보류할 수 있는 관리 기능이 있는가?</t>
        </is>
      </c>
      <c r="E72" s="17" t="inlineStr">
        <is>
          <t>개발/정보보호</t>
        </is>
      </c>
      <c r="F72" s="15" t="inlineStr">
        <is>
          <t>완료</t>
        </is>
      </c>
      <c r="G72" s="18" t="inlineStr">
        <is>
          <t>/admin에서 해당 결제 건 즉시 [지급 보류] 토글 가능</t>
        </is>
      </c>
      <c r="H72" s="17" t="inlineStr">
        <is>
          <t>2026-09-02</t>
        </is>
      </c>
    </row>
    <row r="73">
      <c r="A73" s="5" t="n">
        <v>69</v>
      </c>
      <c r="B73" s="11" t="inlineStr">
        <is>
          <t>부정결제 및 사고 방지</t>
        </is>
      </c>
      <c r="C73" s="5" t="inlineStr">
        <is>
          <t>필수</t>
        </is>
      </c>
      <c r="D73" s="14" t="inlineStr">
        <is>
          <t>부정결제 발생 시 PG사와 연락할 긴급채널이 있는가?</t>
        </is>
      </c>
      <c r="E73" s="11" t="inlineStr">
        <is>
          <t>개발/정보보호</t>
        </is>
      </c>
      <c r="F73" s="15" t="inlineStr">
        <is>
          <t>완료</t>
        </is>
      </c>
      <c r="G73" s="14" t="inlineStr">
        <is>
          <t>이노페이 리스크관리팀 전용 핫라인 및 슬랙 연동</t>
        </is>
      </c>
      <c r="H73" s="11" t="inlineStr">
        <is>
          <t>2026-08-31</t>
        </is>
      </c>
    </row>
    <row r="74">
      <c r="A74" s="16" t="n">
        <v>70</v>
      </c>
      <c r="B74" s="17" t="inlineStr">
        <is>
          <t>부정결제 및 사고 방지</t>
        </is>
      </c>
      <c r="C74" s="16" t="inlineStr">
        <is>
          <t>필수</t>
        </is>
      </c>
      <c r="D74" s="18" t="inlineStr">
        <is>
          <t>모든 결제·수정·취소·지급 기록이 로그로 남는가?</t>
        </is>
      </c>
      <c r="E74" s="17" t="inlineStr">
        <is>
          <t>개발/정보보호</t>
        </is>
      </c>
      <c r="F74" s="15" t="inlineStr">
        <is>
          <t>완료</t>
        </is>
      </c>
      <c r="G74" s="18" t="inlineStr">
        <is>
          <t>Spring Boot 백엔드 DB 및 AWS CloudWatch 전건 로깅</t>
        </is>
      </c>
      <c r="H74" s="17" t="inlineStr">
        <is>
          <t>2026-09-02</t>
        </is>
      </c>
    </row>
    <row r="75">
      <c r="A75" s="5" t="n">
        <v>71</v>
      </c>
      <c r="B75" s="11" t="inlineStr">
        <is>
          <t>개인정보 보호</t>
        </is>
      </c>
      <c r="C75" s="5" t="inlineStr">
        <is>
          <t>필수</t>
        </is>
      </c>
      <c r="D75" s="14" t="inlineStr">
        <is>
          <t>결제자와 상주의 개인정보 수집 근거가 있는가?</t>
        </is>
      </c>
      <c r="E75" s="11" t="inlineStr">
        <is>
          <t>기획/개발/정보보호</t>
        </is>
      </c>
      <c r="F75" s="15" t="inlineStr">
        <is>
          <t>완료</t>
        </is>
      </c>
      <c r="G75" s="14" t="inlineStr">
        <is>
          <t>개인정보보호법 제15조(계약 이행 및 법령상 의무) 근거 수립</t>
        </is>
      </c>
      <c r="H75" s="11" t="inlineStr">
        <is>
          <t>2026-09-01</t>
        </is>
      </c>
    </row>
    <row r="76">
      <c r="A76" s="16" t="n">
        <v>72</v>
      </c>
      <c r="B76" s="17" t="inlineStr">
        <is>
          <t>개인정보 보호</t>
        </is>
      </c>
      <c r="C76" s="16" t="inlineStr">
        <is>
          <t>필수</t>
        </is>
      </c>
      <c r="D76" s="18" t="inlineStr">
        <is>
          <t>고객사와 개인정보 처리위탁 또는 제공 관계를 정리했는가?</t>
        </is>
      </c>
      <c r="E76" s="17" t="inlineStr">
        <is>
          <t>기획/개발/정보보호</t>
        </is>
      </c>
      <c r="F76" s="15" t="inlineStr">
        <is>
          <t>완료</t>
        </is>
      </c>
      <c r="G76" s="18" t="inlineStr">
        <is>
          <t>개인정보 제3자 제공 동의 제외하고 처리위탁으로 일원화</t>
        </is>
      </c>
      <c r="H76" s="17" t="inlineStr">
        <is>
          <t>2026-09-02</t>
        </is>
      </c>
    </row>
    <row r="77">
      <c r="A77" s="5" t="n">
        <v>73</v>
      </c>
      <c r="B77" s="11" t="inlineStr">
        <is>
          <t>개인정보 보호</t>
        </is>
      </c>
      <c r="C77" s="5" t="inlineStr">
        <is>
          <t>필수</t>
        </is>
      </c>
      <c r="D77" s="14" t="inlineStr">
        <is>
          <t>개인정보 수집·이용·제공 동의문을 준비했는가?</t>
        </is>
      </c>
      <c r="E77" s="11" t="inlineStr">
        <is>
          <t>기획/개발/정보보호</t>
        </is>
      </c>
      <c r="F77" s="15" t="inlineStr">
        <is>
          <t>완료</t>
        </is>
      </c>
      <c r="G77" s="14" t="inlineStr">
        <is>
          <t>부고장 생성 및 결제 화면 동의 체크박스 완비</t>
        </is>
      </c>
      <c r="H77" s="11" t="inlineStr">
        <is>
          <t>2026-09-02</t>
        </is>
      </c>
    </row>
    <row r="78">
      <c r="A78" s="16" t="n">
        <v>74</v>
      </c>
      <c r="B78" s="17" t="inlineStr">
        <is>
          <t>개인정보 보호</t>
        </is>
      </c>
      <c r="C78" s="16" t="inlineStr">
        <is>
          <t>필수</t>
        </is>
      </c>
      <c r="D78" s="18" t="inlineStr">
        <is>
          <t>고객사별 개인정보 접근 권한을 제한했는가?</t>
        </is>
      </c>
      <c r="E78" s="17" t="inlineStr">
        <is>
          <t>기획/개발/정보보호</t>
        </is>
      </c>
      <c r="F78" s="15" t="inlineStr">
        <is>
          <t>완료</t>
        </is>
      </c>
      <c r="G78" s="18" t="inlineStr">
        <is>
          <t>파트너 대시보드에서 타 식장 부고 및 개인정보 차단</t>
        </is>
      </c>
      <c r="H78" s="17" t="inlineStr">
        <is>
          <t>2026-09-02</t>
        </is>
      </c>
    </row>
    <row r="79">
      <c r="A79" s="5" t="n">
        <v>75</v>
      </c>
      <c r="B79" s="11" t="inlineStr">
        <is>
          <t>개인정보 보호</t>
        </is>
      </c>
      <c r="C79" s="5" t="inlineStr">
        <is>
          <t>필수</t>
        </is>
      </c>
      <c r="D79" s="14" t="inlineStr">
        <is>
          <t>계좌정보를 암호화하여 저장하는가?</t>
        </is>
      </c>
      <c r="E79" s="11" t="inlineStr">
        <is>
          <t>기획/개발/정보보호</t>
        </is>
      </c>
      <c r="F79" s="15" t="inlineStr">
        <is>
          <t>완료</t>
        </is>
      </c>
      <c r="G79" s="14" t="inlineStr">
        <is>
          <t>상주 계좌번호 AES-256 단방향/양방향 암호화 DB 저장</t>
        </is>
      </c>
      <c r="H79" s="11" t="inlineStr">
        <is>
          <t>2026-09-02</t>
        </is>
      </c>
    </row>
    <row r="80">
      <c r="A80" s="16" t="n">
        <v>76</v>
      </c>
      <c r="B80" s="17" t="inlineStr">
        <is>
          <t>개인정보 보호</t>
        </is>
      </c>
      <c r="C80" s="16" t="inlineStr">
        <is>
          <t>필수</t>
        </is>
      </c>
      <c r="D80" s="18" t="inlineStr">
        <is>
          <t>개인정보 보관기간과 파기 기준을 정했는가?</t>
        </is>
      </c>
      <c r="E80" s="17" t="inlineStr">
        <is>
          <t>기획/개발/정보보호</t>
        </is>
      </c>
      <c r="F80" s="15" t="inlineStr">
        <is>
          <t>완료</t>
        </is>
      </c>
      <c r="G80" s="18" t="inlineStr">
        <is>
          <t>발인 후 30일 경과 시 민감 계좌정보 자동 마스킹/파기</t>
        </is>
      </c>
      <c r="H80" s="17" t="inlineStr">
        <is>
          <t>2026-09-02</t>
        </is>
      </c>
    </row>
    <row r="81">
      <c r="A81" s="5" t="n">
        <v>77</v>
      </c>
      <c r="B81" s="11" t="inlineStr">
        <is>
          <t>개인정보 보호</t>
        </is>
      </c>
      <c r="C81" s="5" t="inlineStr">
        <is>
          <t>필수</t>
        </is>
      </c>
      <c r="D81" s="14" t="inlineStr">
        <is>
          <t>고객사 계약 종료 시 개인정보 파기 절차가 있는가?</t>
        </is>
      </c>
      <c r="E81" s="11" t="inlineStr">
        <is>
          <t>기획/개발/정보보호</t>
        </is>
      </c>
      <c r="F81" s="15" t="inlineStr">
        <is>
          <t>완료</t>
        </is>
      </c>
      <c r="G81" s="14" t="inlineStr">
        <is>
          <t>파트너 탈퇴/종료 시 즉시 DB 삭제 및 백업 파기 규정</t>
        </is>
      </c>
      <c r="H81" s="11" t="inlineStr">
        <is>
          <t>2026-09-02</t>
        </is>
      </c>
    </row>
    <row r="82">
      <c r="A82" s="16" t="n">
        <v>78</v>
      </c>
      <c r="B82" s="17" t="inlineStr">
        <is>
          <t>개인정보 보호</t>
        </is>
      </c>
      <c r="C82" s="16" t="inlineStr">
        <is>
          <t>필수</t>
        </is>
      </c>
      <c r="D82" s="18" t="inlineStr">
        <is>
          <t>개인정보 유출 사고 대응 절차와 담당자를 지정했는가?</t>
        </is>
      </c>
      <c r="E82" s="17" t="inlineStr">
        <is>
          <t>기획/개발/정보보호</t>
        </is>
      </c>
      <c r="F82" s="15" t="inlineStr">
        <is>
          <t>완료</t>
        </is>
      </c>
      <c r="G82" s="18" t="inlineStr">
        <is>
          <t>개인정보보호책임자(CPO) 지정 및 사고대응 매뉴얼 수립</t>
        </is>
      </c>
      <c r="H82" s="17" t="inlineStr">
        <is>
          <t>2026-09-02</t>
        </is>
      </c>
    </row>
    <row r="83">
      <c r="A83" s="5" t="n">
        <v>79</v>
      </c>
      <c r="B83" s="11" t="inlineStr">
        <is>
          <t>정산 및 관리자 기능</t>
        </is>
      </c>
      <c r="C83" s="5" t="inlineStr">
        <is>
          <t>필수</t>
        </is>
      </c>
      <c r="D83" s="14" t="inlineStr">
        <is>
          <t>부의금 원금과 서비스 이용료가 시스템상 분리되는가?</t>
        </is>
      </c>
      <c r="E83" s="11" t="inlineStr">
        <is>
          <t>개발/사업운영/회계</t>
        </is>
      </c>
      <c r="F83" s="15" t="inlineStr">
        <is>
          <t>완료</t>
        </is>
      </c>
      <c r="G83" s="14" t="inlineStr">
        <is>
          <t>DB 결제 테이블에 principal_amount, fee_amount 분리 저장</t>
        </is>
      </c>
      <c r="H83" s="11" t="inlineStr">
        <is>
          <t>2026-09-02</t>
        </is>
      </c>
    </row>
    <row r="84">
      <c r="A84" s="16" t="n">
        <v>80</v>
      </c>
      <c r="B84" s="17" t="inlineStr">
        <is>
          <t>정산 및 관리자 기능</t>
        </is>
      </c>
      <c r="C84" s="16" t="inlineStr">
        <is>
          <t>필수</t>
        </is>
      </c>
      <c r="D84" s="18" t="inlineStr">
        <is>
          <t>PG 수수료가 별도 항목으로 관리되는가?</t>
        </is>
      </c>
      <c r="E84" s="17" t="inlineStr">
        <is>
          <t>개발/사업운영/회계</t>
        </is>
      </c>
      <c r="F84" s="15" t="inlineStr">
        <is>
          <t>완료</t>
        </is>
      </c>
      <c r="G84" s="18" t="inlineStr">
        <is>
          <t>pg_fee_rate(3.2%), pg_fee_amount 별도 컬럼 관리</t>
        </is>
      </c>
      <c r="H84" s="17" t="inlineStr">
        <is>
          <t>2026-09-02</t>
        </is>
      </c>
    </row>
    <row r="85">
      <c r="A85" s="5" t="n">
        <v>81</v>
      </c>
      <c r="B85" s="11" t="inlineStr">
        <is>
          <t>정산 및 관리자 기능</t>
        </is>
      </c>
      <c r="C85" s="5" t="inlineStr">
        <is>
          <t>필수</t>
        </is>
      </c>
      <c r="D85" s="14" t="inlineStr">
        <is>
          <t>고객사 수수료가 별도 항목으로 관리되는가?</t>
        </is>
      </c>
      <c r="E85" s="11" t="inlineStr">
        <is>
          <t>개발/사업운영/회계</t>
        </is>
      </c>
      <c r="F85" s="15" t="inlineStr">
        <is>
          <t>완료</t>
        </is>
      </c>
      <c r="G85" s="14" t="inlineStr">
        <is>
          <t>partner_commission_amount 컬럼으로 자동 계산</t>
        </is>
      </c>
      <c r="H85" s="11" t="inlineStr">
        <is>
          <t>2026-09-02</t>
        </is>
      </c>
    </row>
    <row r="86">
      <c r="A86" s="16" t="n">
        <v>82</v>
      </c>
      <c r="B86" s="17" t="inlineStr">
        <is>
          <t>정산 및 관리자 기능</t>
        </is>
      </c>
      <c r="C86" s="16" t="inlineStr">
        <is>
          <t>필수</t>
        </is>
      </c>
      <c r="D86" s="18" t="inlineStr">
        <is>
          <t>고객사별 실적·수수료 조회 화면이 있는가?</t>
        </is>
      </c>
      <c r="E86" s="17" t="inlineStr">
        <is>
          <t>개발/사업운영/회계</t>
        </is>
      </c>
      <c r="F86" s="15" t="inlineStr">
        <is>
          <t>완료</t>
        </is>
      </c>
      <c r="G86" s="18" t="inlineStr">
        <is>
          <t>/partner/dashboard 내 실적 및 정산금 실시간 노출</t>
        </is>
      </c>
      <c r="H86" s="17" t="inlineStr">
        <is>
          <t>2026-09-02</t>
        </is>
      </c>
    </row>
    <row r="87">
      <c r="A87" s="5" t="n">
        <v>83</v>
      </c>
      <c r="B87" s="11" t="inlineStr">
        <is>
          <t>정산 및 관리자 기능</t>
        </is>
      </c>
      <c r="C87" s="5" t="inlineStr">
        <is>
          <t>필수</t>
        </is>
      </c>
      <c r="D87" s="14" t="inlineStr">
        <is>
          <t>상주별 지급 내역 조회 화면이 있는가?</t>
        </is>
      </c>
      <c r="E87" s="11" t="inlineStr">
        <is>
          <t>개발/사업운영/회계</t>
        </is>
      </c>
      <c r="F87" s="15" t="inlineStr">
        <is>
          <t>완료</t>
        </is>
      </c>
      <c r="G87" s="14" t="inlineStr">
        <is>
          <t>/admin/bugo/[id] 상주별 결제/송금 상세 내역 조회 완비</t>
        </is>
      </c>
      <c r="H87" s="11" t="inlineStr">
        <is>
          <t>2026-09-02</t>
        </is>
      </c>
    </row>
    <row r="88">
      <c r="A88" s="16" t="n">
        <v>84</v>
      </c>
      <c r="B88" s="17" t="inlineStr">
        <is>
          <t>정산 및 관리자 기능</t>
        </is>
      </c>
      <c r="C88" s="16" t="inlineStr">
        <is>
          <t>필수</t>
        </is>
      </c>
      <c r="D88" s="18" t="inlineStr">
        <is>
          <t>미지급·지급실패 건을 모니터링할 수 있는가?</t>
        </is>
      </c>
      <c r="E88" s="17" t="inlineStr">
        <is>
          <t>개발/사업운영/회계</t>
        </is>
      </c>
      <c r="F88" s="15" t="inlineStr">
        <is>
          <t>완료</t>
        </is>
      </c>
      <c r="G88" s="18" t="inlineStr">
        <is>
          <t>어드민 상단에 [지급 실패 건: N건] 실시간 배지 표시</t>
        </is>
      </c>
      <c r="H88" s="17" t="inlineStr">
        <is>
          <t>2026-09-02</t>
        </is>
      </c>
    </row>
    <row r="89">
      <c r="A89" s="5" t="n">
        <v>85</v>
      </c>
      <c r="B89" s="11" t="inlineStr">
        <is>
          <t>정산 및 관리자 기능</t>
        </is>
      </c>
      <c r="C89" s="5" t="inlineStr">
        <is>
          <t>필수</t>
        </is>
      </c>
      <c r="D89" s="14" t="inlineStr">
        <is>
          <t>PG사 대사 데이터와 자동 대조가 가능한가?</t>
        </is>
      </c>
      <c r="E89" s="11" t="inlineStr">
        <is>
          <t>개발/사업운영/회계</t>
        </is>
      </c>
      <c r="F89" s="19" t="inlineStr">
        <is>
          <t>진행중</t>
        </is>
      </c>
      <c r="G89" s="14" t="inlineStr">
        <is>
          <t>이노페이 정산 대사 엑셀/API 자동 대조 배치 개발 중</t>
        </is>
      </c>
      <c r="H89" s="11" t="inlineStr">
        <is>
          <t>2026-09-04</t>
        </is>
      </c>
    </row>
    <row r="90">
      <c r="A90" s="16" t="n">
        <v>86</v>
      </c>
      <c r="B90" s="17" t="inlineStr">
        <is>
          <t>정산 및 관리자 기능</t>
        </is>
      </c>
      <c r="C90" s="16" t="inlineStr">
        <is>
          <t>필수</t>
        </is>
      </c>
      <c r="D90" s="18" t="inlineStr">
        <is>
          <t>정산 보류 및 수동 처리 기능이 있는가?</t>
        </is>
      </c>
      <c r="E90" s="17" t="inlineStr">
        <is>
          <t>개발/사업운영/회계</t>
        </is>
      </c>
      <c r="F90" s="15" t="inlineStr">
        <is>
          <t>완료</t>
        </is>
      </c>
      <c r="G90" s="18" t="inlineStr">
        <is>
          <t>어드민에서 관리자 비밀번호(1010) 인증 후 수동 송금/보류</t>
        </is>
      </c>
      <c r="H90" s="17" t="inlineStr">
        <is>
          <t>2026-09-02</t>
        </is>
      </c>
    </row>
    <row r="91">
      <c r="A91" s="5" t="n">
        <v>87</v>
      </c>
      <c r="B91" s="11" t="inlineStr">
        <is>
          <t>정산 및 관리자 기능</t>
        </is>
      </c>
      <c r="C91" s="5" t="inlineStr">
        <is>
          <t>필수</t>
        </is>
      </c>
      <c r="D91" s="14" t="inlineStr">
        <is>
          <t>정산 내역 엑셀 다운로드 기능이 있는가?</t>
        </is>
      </c>
      <c r="E91" s="11" t="inlineStr">
        <is>
          <t>개발/사업운영/회계</t>
        </is>
      </c>
      <c r="F91" s="15" t="inlineStr">
        <is>
          <t>완료</t>
        </is>
      </c>
      <c r="G91" s="14" t="inlineStr">
        <is>
          <t>어드민 및 파트너 대시보드 엑셀(.xlsx) 내보내기 구현</t>
        </is>
      </c>
      <c r="H91" s="11" t="inlineStr">
        <is>
          <t>2026-09-02</t>
        </is>
      </c>
    </row>
    <row r="92">
      <c r="A92" s="16" t="n">
        <v>88</v>
      </c>
      <c r="B92" s="17" t="inlineStr">
        <is>
          <t>정산 및 관리자 기능</t>
        </is>
      </c>
      <c r="C92" s="16" t="inlineStr">
        <is>
          <t>필수</t>
        </is>
      </c>
      <c r="D92" s="18" t="inlineStr">
        <is>
          <t>정산 데이터 변경 이력이 로그로 보관되는가?</t>
        </is>
      </c>
      <c r="E92" s="17" t="inlineStr">
        <is>
          <t>개발/사업운영/회계</t>
        </is>
      </c>
      <c r="F92" s="15" t="inlineStr">
        <is>
          <t>완료</t>
        </is>
      </c>
      <c r="G92" s="18" t="inlineStr">
        <is>
          <t>정산 상태 변경 시 관리자 ID, 시간, 변경 사유 DB 저장</t>
        </is>
      </c>
      <c r="H92" s="17" t="inlineStr">
        <is>
          <t>2026-09-02</t>
        </is>
      </c>
    </row>
    <row r="93">
      <c r="A93" s="5" t="n">
        <v>89</v>
      </c>
      <c r="B93" s="11" t="inlineStr">
        <is>
          <t>영수증 및 증빙</t>
        </is>
      </c>
      <c r="C93" s="5" t="inlineStr">
        <is>
          <t>필수</t>
        </is>
      </c>
      <c r="D93" s="14" t="inlineStr">
        <is>
          <t>결제 영수증의 공급자가 데브늄으로 표시되는가?</t>
        </is>
      </c>
      <c r="E93" s="11" t="inlineStr">
        <is>
          <t>개발/회계</t>
        </is>
      </c>
      <c r="F93" s="15" t="inlineStr">
        <is>
          <t>완료</t>
        </is>
      </c>
      <c r="G93" s="14" t="inlineStr">
        <is>
          <t>이노페이 매출전표상 상호 '주식회사 데브늄' 표기 확인</t>
        </is>
      </c>
      <c r="H93" s="11" t="inlineStr">
        <is>
          <t>2026-09-02</t>
        </is>
      </c>
    </row>
    <row r="94">
      <c r="A94" s="16" t="n">
        <v>90</v>
      </c>
      <c r="B94" s="17" t="inlineStr">
        <is>
          <t>영수증 및 증빙</t>
        </is>
      </c>
      <c r="C94" s="16" t="inlineStr">
        <is>
          <t>필수</t>
        </is>
      </c>
      <c r="D94" s="18" t="inlineStr">
        <is>
          <t>영수증에 서비스 이용료와 부가세가 표시되는가?</t>
        </is>
      </c>
      <c r="E94" s="17" t="inlineStr">
        <is>
          <t>개발/회계</t>
        </is>
      </c>
      <c r="F94" s="15" t="inlineStr">
        <is>
          <t>완료</t>
        </is>
      </c>
      <c r="G94" s="18" t="inlineStr">
        <is>
          <t>매출전표 내 공급가액 및 부가세 정확히 분리 표기</t>
        </is>
      </c>
      <c r="H94" s="17" t="inlineStr">
        <is>
          <t>2026-09-02</t>
        </is>
      </c>
    </row>
    <row r="95">
      <c r="A95" s="5" t="n">
        <v>91</v>
      </c>
      <c r="B95" s="11" t="inlineStr">
        <is>
          <t>영수증 및 증빙</t>
        </is>
      </c>
      <c r="C95" s="5" t="inlineStr">
        <is>
          <t>필수</t>
        </is>
      </c>
      <c r="D95" s="14" t="inlineStr">
        <is>
          <t>영수증에 부의금 원금이 별도 기재되는가?</t>
        </is>
      </c>
      <c r="E95" s="11" t="inlineStr">
        <is>
          <t>개발/회계</t>
        </is>
      </c>
      <c r="F95" s="15" t="inlineStr">
        <is>
          <t>완료</t>
        </is>
      </c>
      <c r="G95" s="14" t="inlineStr">
        <is>
          <t>비과세 증여성 송금 원금 항목 별도 표기</t>
        </is>
      </c>
      <c r="H95" s="11" t="inlineStr">
        <is>
          <t>2026-09-02</t>
        </is>
      </c>
    </row>
    <row r="96">
      <c r="A96" s="16" t="n">
        <v>92</v>
      </c>
      <c r="B96" s="17" t="inlineStr">
        <is>
          <t>영수증 및 증빙</t>
        </is>
      </c>
      <c r="C96" s="16" t="inlineStr">
        <is>
          <t>필수</t>
        </is>
      </c>
      <c r="D96" s="18" t="inlineStr">
        <is>
          <t>결제자에게 영수증 조회·출력 링크를 제공하는가?</t>
        </is>
      </c>
      <c r="E96" s="17" t="inlineStr">
        <is>
          <t>개발/회계</t>
        </is>
      </c>
      <c r="F96" s="15" t="inlineStr">
        <is>
          <t>완료</t>
        </is>
      </c>
      <c r="G96" s="18" t="inlineStr">
        <is>
          <t>결제 완료 문자/화면에 '영수증 확인' URL 제공</t>
        </is>
      </c>
      <c r="H96" s="17" t="inlineStr">
        <is>
          <t>2026-09-02</t>
        </is>
      </c>
    </row>
    <row r="97">
      <c r="A97" s="5" t="n">
        <v>93</v>
      </c>
      <c r="B97" s="11" t="inlineStr">
        <is>
          <t>영수증 및 증빙</t>
        </is>
      </c>
      <c r="C97" s="5" t="inlineStr">
        <is>
          <t>필수</t>
        </is>
      </c>
      <c r="D97" s="14" t="inlineStr">
        <is>
          <t>상주에게 부의금 송금 명세서를 제공하는가?</t>
        </is>
      </c>
      <c r="E97" s="11" t="inlineStr">
        <is>
          <t>개발/회계</t>
        </is>
      </c>
      <c r="F97" s="15" t="inlineStr">
        <is>
          <t>완료</t>
        </is>
      </c>
      <c r="G97" s="14" t="inlineStr">
        <is>
          <t>상주용 모바일 웹 명세서 및 엑셀 다운로드 지원</t>
        </is>
      </c>
      <c r="H97" s="11" t="inlineStr">
        <is>
          <t>2026-09-02</t>
        </is>
      </c>
    </row>
    <row r="98">
      <c r="A98" s="16" t="n">
        <v>94</v>
      </c>
      <c r="B98" s="17" t="inlineStr">
        <is>
          <t>영수증 및 증빙</t>
        </is>
      </c>
      <c r="C98" s="16" t="inlineStr">
        <is>
          <t>필수</t>
        </is>
      </c>
      <c r="D98" s="18" t="inlineStr">
        <is>
          <t>고객사에 월별 정산 내역서를 발송하는가?</t>
        </is>
      </c>
      <c r="E98" s="17" t="inlineStr">
        <is>
          <t>개발/회계</t>
        </is>
      </c>
      <c r="F98" s="19" t="inlineStr">
        <is>
          <t>진행중</t>
        </is>
      </c>
      <c r="G98" s="18" t="inlineStr">
        <is>
          <t>매월 1일 파트너 이메일 자동 정산서 발송 배치 구축 중</t>
        </is>
      </c>
      <c r="H98" s="17" t="inlineStr">
        <is>
          <t>2026-09-04</t>
        </is>
      </c>
    </row>
    <row r="99">
      <c r="A99" s="5" t="n">
        <v>95</v>
      </c>
      <c r="B99" s="11" t="inlineStr">
        <is>
          <t>운영 및 고객응대</t>
        </is>
      </c>
      <c r="C99" s="5" t="inlineStr">
        <is>
          <t>필수</t>
        </is>
      </c>
      <c r="D99" s="14" t="inlineStr">
        <is>
          <t>결제자 문의 응대 매뉴얼을 작성했는가?</t>
        </is>
      </c>
      <c r="E99" s="11" t="inlineStr">
        <is>
          <t>사업운영</t>
        </is>
      </c>
      <c r="F99" s="15" t="inlineStr">
        <is>
          <t>완료</t>
        </is>
      </c>
      <c r="G99" s="14" t="inlineStr">
        <is>
          <t>04_B2B_제휴사_부의금_서비스_도입_및_운영_가이드.md 수립</t>
        </is>
      </c>
      <c r="H99" s="11" t="inlineStr">
        <is>
          <t>2026-09-02</t>
        </is>
      </c>
    </row>
    <row r="100">
      <c r="A100" s="16" t="n">
        <v>96</v>
      </c>
      <c r="B100" s="17" t="inlineStr">
        <is>
          <t>운영 및 고객응대</t>
        </is>
      </c>
      <c r="C100" s="16" t="inlineStr">
        <is>
          <t>필수</t>
        </is>
      </c>
      <c r="D100" s="18" t="inlineStr">
        <is>
          <t>상주 문의 응대 매뉴얼을 작성했는가?</t>
        </is>
      </c>
      <c r="E100" s="17" t="inlineStr">
        <is>
          <t>사업운영</t>
        </is>
      </c>
      <c r="F100" s="15" t="inlineStr">
        <is>
          <t>완료</t>
        </is>
      </c>
      <c r="G100" s="18" t="inlineStr">
        <is>
          <t>상주 입금 확인 및 부의금 명세서 안내 스크립트 작성</t>
        </is>
      </c>
      <c r="H100" s="17" t="inlineStr">
        <is>
          <t>2026-09-02</t>
        </is>
      </c>
    </row>
    <row r="101">
      <c r="A101" s="5" t="n">
        <v>97</v>
      </c>
      <c r="B101" s="11" t="inlineStr">
        <is>
          <t>운영 및 고객응대</t>
        </is>
      </c>
      <c r="C101" s="5" t="inlineStr">
        <is>
          <t>필수</t>
        </is>
      </c>
      <c r="D101" s="14" t="inlineStr">
        <is>
          <t>고객사 문의 응대 매뉴얼을 작성했는가?</t>
        </is>
      </c>
      <c r="E101" s="11" t="inlineStr">
        <is>
          <t>사업운영</t>
        </is>
      </c>
      <c r="F101" s="15" t="inlineStr">
        <is>
          <t>완료</t>
        </is>
      </c>
      <c r="G101" s="14" t="inlineStr">
        <is>
          <t>장례식장 사무실 문의 대응 FAQ 및 QR 재인쇄 안내서 완비</t>
        </is>
      </c>
      <c r="H101" s="11" t="inlineStr">
        <is>
          <t>2026-09-02</t>
        </is>
      </c>
    </row>
    <row r="102">
      <c r="A102" s="16" t="n">
        <v>98</v>
      </c>
      <c r="B102" s="17" t="inlineStr">
        <is>
          <t>운영 및 고객응대</t>
        </is>
      </c>
      <c r="C102" s="16" t="inlineStr">
        <is>
          <t>필수</t>
        </is>
      </c>
      <c r="D102" s="18" t="inlineStr">
        <is>
          <t>주말·야간 장애 대응 체계를 마련했는가?</t>
        </is>
      </c>
      <c r="E102" s="17" t="inlineStr">
        <is>
          <t>사업운영/개발</t>
        </is>
      </c>
      <c r="F102" s="15" t="inlineStr">
        <is>
          <t>완료</t>
        </is>
      </c>
      <c r="G102" s="18" t="inlineStr">
        <is>
          <t>24시간 서버 모니터링 알림 및 비상 온콜 당직제 수립</t>
        </is>
      </c>
      <c r="H102" s="17" t="inlineStr">
        <is>
          <t>2026-09-02</t>
        </is>
      </c>
    </row>
    <row r="103">
      <c r="A103" s="5" t="n">
        <v>99</v>
      </c>
      <c r="B103" s="11" t="inlineStr">
        <is>
          <t>운영 및 고객응대</t>
        </is>
      </c>
      <c r="C103" s="5" t="inlineStr">
        <is>
          <t>필수</t>
        </is>
      </c>
      <c r="D103" s="14" t="inlineStr">
        <is>
          <t>결제 실패 시 고객 안내 문구를 작성했는가?</t>
        </is>
      </c>
      <c r="E103" s="11" t="inlineStr">
        <is>
          <t>사업운영/기획</t>
        </is>
      </c>
      <c r="F103" s="15" t="inlineStr">
        <is>
          <t>완료</t>
        </is>
      </c>
      <c r="G103" s="14" t="inlineStr">
        <is>
          <t>한도초과/카드사오류/망에러 친절 안내 팝업 메시지 완비</t>
        </is>
      </c>
      <c r="H103" s="11" t="inlineStr">
        <is>
          <t>2026-09-02</t>
        </is>
      </c>
    </row>
    <row r="104">
      <c r="A104" s="16" t="n">
        <v>100</v>
      </c>
      <c r="B104" s="17" t="inlineStr">
        <is>
          <t>운영 및 고객응대</t>
        </is>
      </c>
      <c r="C104" s="16" t="inlineStr">
        <is>
          <t>필수</t>
        </is>
      </c>
      <c r="D104" s="18" t="inlineStr">
        <is>
          <t>송금 실패 시 상주 안내 절차를 마련했는가?</t>
        </is>
      </c>
      <c r="E104" s="17" t="inlineStr">
        <is>
          <t>사업운영</t>
        </is>
      </c>
      <c r="F104" s="15" t="inlineStr">
        <is>
          <t>완료</t>
        </is>
      </c>
      <c r="G104" s="18" t="inlineStr">
        <is>
          <t>상주 계좌 오류 시 알림톡 자동 발송 및 계좌 재입력 유도</t>
        </is>
      </c>
      <c r="H104" s="17" t="inlineStr">
        <is>
          <t>2026-09-02</t>
        </is>
      </c>
    </row>
    <row r="105">
      <c r="A105" s="5" t="n">
        <v>101</v>
      </c>
      <c r="B105" s="11" t="inlineStr">
        <is>
          <t>운영 및 고객응대</t>
        </is>
      </c>
      <c r="C105" s="5" t="inlineStr">
        <is>
          <t>필수</t>
        </is>
      </c>
      <c r="D105" s="14" t="inlineStr">
        <is>
          <t>CS 담당자 교육을 완료했는가?</t>
        </is>
      </c>
      <c r="E105" s="11" t="inlineStr">
        <is>
          <t>사업운영</t>
        </is>
      </c>
      <c r="F105" s="19" t="inlineStr">
        <is>
          <t>진행중</t>
        </is>
      </c>
      <c r="G105" s="14" t="inlineStr">
        <is>
          <t>전사 QA 배포와 함께 전 직원 CS 매뉴얼 교육 예정</t>
        </is>
      </c>
      <c r="H105" s="11" t="inlineStr">
        <is>
          <t>2026-09-03</t>
        </is>
      </c>
    </row>
    <row r="106">
      <c r="A106" s="16" t="n">
        <v>102</v>
      </c>
      <c r="B106" s="17" t="inlineStr">
        <is>
          <t>운영 및 고객응대</t>
        </is>
      </c>
      <c r="C106" s="16" t="inlineStr">
        <is>
          <t>필수</t>
        </is>
      </c>
      <c r="D106" s="18" t="inlineStr">
        <is>
          <t>에스컬레이션 경로를 지정했는가?</t>
        </is>
      </c>
      <c r="E106" s="17" t="inlineStr">
        <is>
          <t>사업운영</t>
        </is>
      </c>
      <c r="F106" s="15" t="inlineStr">
        <is>
          <t>완료</t>
        </is>
      </c>
      <c r="G106" s="18" t="inlineStr">
        <is>
          <t>1차 CS ➔ 2차 운영(이승훈) ➔ 3차 개발(백엔드/PG) 라인 확정</t>
        </is>
      </c>
      <c r="H106" s="17" t="inlineStr">
        <is>
          <t>2026-09-02</t>
        </is>
      </c>
    </row>
    <row r="107">
      <c r="A107" s="5" t="n">
        <v>103</v>
      </c>
      <c r="B107" s="11" t="inlineStr">
        <is>
          <t>운영 및 고객응대</t>
        </is>
      </c>
      <c r="C107" s="5" t="inlineStr">
        <is>
          <t>필수</t>
        </is>
      </c>
      <c r="D107" s="14" t="inlineStr">
        <is>
          <t>분쟁 발생 시 중재 기준을 정했는가?</t>
        </is>
      </c>
      <c r="E107" s="11" t="inlineStr">
        <is>
          <t>사업운영/법무</t>
        </is>
      </c>
      <c r="F107" s="15" t="inlineStr">
        <is>
          <t>완료</t>
        </is>
      </c>
      <c r="G107" s="14" t="inlineStr">
        <is>
          <t>약관상 분쟁조정위원회 및 관할법원(서울중앙지법) 명시</t>
        </is>
      </c>
      <c r="H107" s="11" t="inlineStr">
        <is>
          <t>2026-09-01</t>
        </is>
      </c>
    </row>
    <row r="108">
      <c r="A108" s="16" t="n">
        <v>104</v>
      </c>
      <c r="B108" s="17" t="inlineStr">
        <is>
          <t>출시 전 테스트</t>
        </is>
      </c>
      <c r="C108" s="16" t="inlineStr">
        <is>
          <t>필수</t>
        </is>
      </c>
      <c r="D108" s="18" t="inlineStr">
        <is>
          <t>고객사 부고장에서 결제화면 호출 테스트를 완료했는가?</t>
        </is>
      </c>
      <c r="E108" s="17" t="inlineStr">
        <is>
          <t>기획/개발/QA</t>
        </is>
      </c>
      <c r="F108" s="15" t="inlineStr">
        <is>
          <t>완료</t>
        </is>
      </c>
      <c r="G108" s="18" t="inlineStr">
        <is>
          <t>http://dev.giftium.co.kr:9200 결제창 호출 100% 검증</t>
        </is>
      </c>
      <c r="H108" s="17" t="inlineStr">
        <is>
          <t>2026-09-02</t>
        </is>
      </c>
    </row>
    <row r="109">
      <c r="A109" s="5" t="n">
        <v>105</v>
      </c>
      <c r="B109" s="11" t="inlineStr">
        <is>
          <t>출시 전 테스트</t>
        </is>
      </c>
      <c r="C109" s="5" t="inlineStr">
        <is>
          <t>필수</t>
        </is>
      </c>
      <c r="D109" s="14" t="inlineStr">
        <is>
          <t>카드사별(신한, 국민, 삼성, 현대, 롯데, 비씨 등) 실결제 테스트를 완료했는가?</t>
        </is>
      </c>
      <c r="E109" s="11" t="inlineStr">
        <is>
          <t>기획/개발/QA</t>
        </is>
      </c>
      <c r="F109" s="19" t="inlineStr">
        <is>
          <t>진행중</t>
        </is>
      </c>
      <c r="G109" s="14" t="inlineStr">
        <is>
          <t>상준 님 결제개발서버에서 카드사별 결제 검증 진행 중</t>
        </is>
      </c>
      <c r="H109" s="11" t="inlineStr">
        <is>
          <t>2026-09-03</t>
        </is>
      </c>
    </row>
    <row r="110">
      <c r="A110" s="16" t="n">
        <v>106</v>
      </c>
      <c r="B110" s="17" t="inlineStr">
        <is>
          <t>출시 전 테스트</t>
        </is>
      </c>
      <c r="C110" s="16" t="inlineStr">
        <is>
          <t>필수</t>
        </is>
      </c>
      <c r="D110" s="18" t="inlineStr">
        <is>
          <t>간편결제(카카오페이, 네이버페이, 토스페이) 테스트를 완료했는가?</t>
        </is>
      </c>
      <c r="E110" s="17" t="inlineStr">
        <is>
          <t>기획/개발/QA</t>
        </is>
      </c>
      <c r="F110" s="19" t="inlineStr">
        <is>
          <t>진행중</t>
        </is>
      </c>
      <c r="G110" s="18" t="inlineStr">
        <is>
          <t>이노페이 간편결제 모듈 테스트 진행 중</t>
        </is>
      </c>
      <c r="H110" s="17" t="inlineStr">
        <is>
          <t>2026-09-03</t>
        </is>
      </c>
    </row>
    <row r="111">
      <c r="A111" s="5" t="n">
        <v>107</v>
      </c>
      <c r="B111" s="11" t="inlineStr">
        <is>
          <t>출시 전 테스트</t>
        </is>
      </c>
      <c r="C111" s="5" t="inlineStr">
        <is>
          <t>필수</t>
        </is>
      </c>
      <c r="D111" s="14" t="inlineStr">
        <is>
          <t>모바일/PC 브라우저 호환성 테스트를 완료했는가?</t>
        </is>
      </c>
      <c r="E111" s="11" t="inlineStr">
        <is>
          <t>기획/개발/QA</t>
        </is>
      </c>
      <c r="F111" s="15" t="inlineStr">
        <is>
          <t>완료</t>
        </is>
      </c>
      <c r="G111" s="14" t="inlineStr">
        <is>
          <t>iOS 사파리, 안드로이드 크롬, PC 크롬/엣지 호환 검증</t>
        </is>
      </c>
      <c r="H111" s="11" t="inlineStr">
        <is>
          <t>2026-09-02</t>
        </is>
      </c>
    </row>
    <row r="112">
      <c r="A112" s="16" t="n">
        <v>108</v>
      </c>
      <c r="B112" s="17" t="inlineStr">
        <is>
          <t>출시 전 테스트</t>
        </is>
      </c>
      <c r="C112" s="16" t="inlineStr">
        <is>
          <t>필수</t>
        </is>
      </c>
      <c r="D112" s="18" t="inlineStr">
        <is>
          <t>결제 중 이탈/새로고침 시 이상 유무를 확인했는가?</t>
        </is>
      </c>
      <c r="E112" s="17" t="inlineStr">
        <is>
          <t>기획/개발/QA</t>
        </is>
      </c>
      <c r="F112" s="15" t="inlineStr">
        <is>
          <t>완료</t>
        </is>
      </c>
      <c r="G112" s="18" t="inlineStr">
        <is>
          <t>세션 만료 및 결제 도중 이탈 시 데이터 무결성 확인</t>
        </is>
      </c>
      <c r="H112" s="17" t="inlineStr">
        <is>
          <t>2026-09-02</t>
        </is>
      </c>
    </row>
    <row r="113">
      <c r="A113" s="5" t="n">
        <v>109</v>
      </c>
      <c r="B113" s="11" t="inlineStr">
        <is>
          <t>출시 전 테스트</t>
        </is>
      </c>
      <c r="C113" s="5" t="inlineStr">
        <is>
          <t>필수</t>
        </is>
      </c>
      <c r="D113" s="14" t="inlineStr">
        <is>
          <t>결제 즉시 취소 테스트를 완료했는가?</t>
        </is>
      </c>
      <c r="E113" s="11" t="inlineStr">
        <is>
          <t>기획/개발/QA</t>
        </is>
      </c>
      <c r="F113" s="19" t="inlineStr">
        <is>
          <t>진행중</t>
        </is>
      </c>
      <c r="G113" s="14" t="inlineStr">
        <is>
          <t>승인 즉시 취소 API 연동 테스트 진행 중</t>
        </is>
      </c>
      <c r="H113" s="11" t="inlineStr">
        <is>
          <t>2026-09-03</t>
        </is>
      </c>
    </row>
    <row r="114">
      <c r="A114" s="16" t="n">
        <v>110</v>
      </c>
      <c r="B114" s="17" t="inlineStr">
        <is>
          <t>출시 전 테스트</t>
        </is>
      </c>
      <c r="C114" s="16" t="inlineStr">
        <is>
          <t>필수</t>
        </is>
      </c>
      <c r="D114" s="18" t="inlineStr">
        <is>
          <t>상주 계좌 실시간 송금 테스트를 완료했는가?</t>
        </is>
      </c>
      <c r="E114" s="17" t="inlineStr">
        <is>
          <t>기획/개발/QA</t>
        </is>
      </c>
      <c r="F114" s="19" t="inlineStr">
        <is>
          <t>진행중</t>
        </is>
      </c>
      <c r="G114" s="18" t="inlineStr">
        <is>
          <t>실제 은행 계좌 입금 처리 프로세스 검증 중</t>
        </is>
      </c>
      <c r="H114" s="17" t="inlineStr">
        <is>
          <t>2026-09-03</t>
        </is>
      </c>
    </row>
    <row r="115">
      <c r="A115" s="5" t="n">
        <v>111</v>
      </c>
      <c r="B115" s="11" t="inlineStr">
        <is>
          <t>출시 전 테스트</t>
        </is>
      </c>
      <c r="C115" s="5" t="inlineStr">
        <is>
          <t>필수</t>
        </is>
      </c>
      <c r="D115" s="14" t="inlineStr">
        <is>
          <t>송금 실패 시 롤백/재시도 테스트를 완료했는가?</t>
        </is>
      </c>
      <c r="E115" s="11" t="inlineStr">
        <is>
          <t>기획/개발/QA</t>
        </is>
      </c>
      <c r="F115" s="15" t="inlineStr">
        <is>
          <t>완료</t>
        </is>
      </c>
      <c r="G115" s="14" t="inlineStr">
        <is>
          <t>송금 실패 시 승인 자동 취소 롤백 검증 완료</t>
        </is>
      </c>
      <c r="H115" s="11" t="inlineStr">
        <is>
          <t>2026-09-02</t>
        </is>
      </c>
    </row>
    <row r="116">
      <c r="A116" s="16" t="n">
        <v>112</v>
      </c>
      <c r="B116" s="17" t="inlineStr">
        <is>
          <t>출시 전 테스트</t>
        </is>
      </c>
      <c r="C116" s="16" t="inlineStr">
        <is>
          <t>필수</t>
        </is>
      </c>
      <c r="D116" s="18" t="inlineStr">
        <is>
          <t>잘못된 계좌번호 입력 시 에러 처리를 확인했는가?</t>
        </is>
      </c>
      <c r="E116" s="17" t="inlineStr">
        <is>
          <t>기획/개발/QA</t>
        </is>
      </c>
      <c r="F116" s="15" t="inlineStr">
        <is>
          <t>완료</t>
        </is>
      </c>
      <c r="G116" s="18" t="inlineStr">
        <is>
          <t>없는 계좌번호 입력 시 친절한 에러 팝업 노출 확인</t>
        </is>
      </c>
      <c r="H116" s="17" t="inlineStr">
        <is>
          <t>2026-09-02</t>
        </is>
      </c>
    </row>
    <row r="117">
      <c r="A117" s="5" t="n">
        <v>113</v>
      </c>
      <c r="B117" s="11" t="inlineStr">
        <is>
          <t>출시 전 테스트</t>
        </is>
      </c>
      <c r="C117" s="5" t="inlineStr">
        <is>
          <t>필수</t>
        </is>
      </c>
      <c r="D117" s="14" t="inlineStr">
        <is>
          <t>PG사 대사 데이터 일치 여부를 확인했는가?</t>
        </is>
      </c>
      <c r="E117" s="11" t="inlineStr">
        <is>
          <t>기획/개발/QA</t>
        </is>
      </c>
      <c r="F117" s="19" t="inlineStr">
        <is>
          <t>진행중</t>
        </is>
      </c>
      <c r="G117" s="14" t="inlineStr">
        <is>
          <t>이노페이 대사 로그와 데브늄 DB 비교 검증 중</t>
        </is>
      </c>
      <c r="H117" s="11" t="inlineStr">
        <is>
          <t>2026-09-04</t>
        </is>
      </c>
    </row>
    <row r="118">
      <c r="A118" s="16" t="n">
        <v>114</v>
      </c>
      <c r="B118" s="17" t="inlineStr">
        <is>
          <t>출시 전 테스트</t>
        </is>
      </c>
      <c r="C118" s="16" t="inlineStr">
        <is>
          <t>필수</t>
        </is>
      </c>
      <c r="D118" s="18" t="inlineStr">
        <is>
          <t>고객사 수수료 계산 정확도를 확인했는가?</t>
        </is>
      </c>
      <c r="E118" s="17" t="inlineStr">
        <is>
          <t>기획/개발/QA</t>
        </is>
      </c>
      <c r="F118" s="15" t="inlineStr">
        <is>
          <t>완료</t>
        </is>
      </c>
      <c r="G118" s="18" t="inlineStr">
        <is>
          <t>파트너 대시보드 10% 커미션 수식 정확도 100% 검증</t>
        </is>
      </c>
      <c r="H118" s="17" t="inlineStr">
        <is>
          <t>2026-09-02</t>
        </is>
      </c>
    </row>
    <row r="119">
      <c r="A119" s="5" t="n">
        <v>115</v>
      </c>
      <c r="B119" s="11" t="inlineStr">
        <is>
          <t>출시 전 테스트</t>
        </is>
      </c>
      <c r="C119" s="5" t="inlineStr">
        <is>
          <t>필수</t>
        </is>
      </c>
      <c r="D119" s="14" t="inlineStr">
        <is>
          <t>관리자 화면에서 전체 상태 변경을 확인했는가?</t>
        </is>
      </c>
      <c r="E119" s="11" t="inlineStr">
        <is>
          <t>기획/개발/QA</t>
        </is>
      </c>
      <c r="F119" s="15" t="inlineStr">
        <is>
          <t>완료</t>
        </is>
      </c>
      <c r="G119" s="14" t="inlineStr">
        <is>
          <t>/admin 어드민 부고 상태(활성/비활성/삭제) 정상 작동</t>
        </is>
      </c>
      <c r="H119" s="11" t="inlineStr">
        <is>
          <t>2026-09-02</t>
        </is>
      </c>
    </row>
    <row r="120">
      <c r="A120" s="16" t="n">
        <v>116</v>
      </c>
      <c r="B120" s="17" t="inlineStr">
        <is>
          <t>출시 전 테스트</t>
        </is>
      </c>
      <c r="C120" s="16" t="inlineStr">
        <is>
          <t>필수</t>
        </is>
      </c>
      <c r="D120" s="18" t="inlineStr">
        <is>
          <t>알림톡/SMS 발송 정상 여부를 확인했는가?</t>
        </is>
      </c>
      <c r="E120" s="17" t="inlineStr">
        <is>
          <t>기획/개발/QA</t>
        </is>
      </c>
      <c r="F120" s="19" t="inlineStr">
        <is>
          <t>진행중</t>
        </is>
      </c>
      <c r="G120" s="18" t="inlineStr">
        <is>
          <t>카카오 비즈메시지 알림톡 템플릿 검수 승인 대기</t>
        </is>
      </c>
      <c r="H120" s="17" t="inlineStr">
        <is>
          <t>2026-09-04</t>
        </is>
      </c>
    </row>
    <row r="121">
      <c r="A121" s="5" t="n">
        <v>117</v>
      </c>
      <c r="B121" s="11" t="inlineStr">
        <is>
          <t>출시 전 테스트</t>
        </is>
      </c>
      <c r="C121" s="5" t="inlineStr">
        <is>
          <t>필수</t>
        </is>
      </c>
      <c r="D121" s="14" t="inlineStr">
        <is>
          <t>고부하(동시 결제) 스트레스 테스트를 완료했는가?</t>
        </is>
      </c>
      <c r="E121" s="11" t="inlineStr">
        <is>
          <t>개발/QA</t>
        </is>
      </c>
      <c r="F121" s="19" t="inlineStr">
        <is>
          <t>진행중</t>
        </is>
      </c>
      <c r="G121" s="14" t="inlineStr">
        <is>
          <t>동시 500명 접속 부하 테스트 진행 중</t>
        </is>
      </c>
      <c r="H121" s="11" t="inlineStr">
        <is>
          <t>2026-09-04</t>
        </is>
      </c>
    </row>
    <row r="122">
      <c r="A122" s="16" t="n">
        <v>118</v>
      </c>
      <c r="B122" s="17" t="inlineStr">
        <is>
          <t>출시 전 테스트</t>
        </is>
      </c>
      <c r="C122" s="16" t="inlineStr">
        <is>
          <t>필수</t>
        </is>
      </c>
      <c r="D122" s="18" t="inlineStr">
        <is>
          <t>전사 모의 런칭(Dry Run)을 완료했는가?</t>
        </is>
      </c>
      <c r="E122" s="17" t="inlineStr">
        <is>
          <t>전사</t>
        </is>
      </c>
      <c r="F122" s="19" t="inlineStr">
        <is>
          <t>진행중</t>
        </is>
      </c>
      <c r="G122" s="18" t="inlineStr">
        <is>
          <t>현재 9/2 전사 통합 QA 진행 중</t>
        </is>
      </c>
      <c r="H122" s="17" t="inlineStr">
        <is>
          <t>2026-09-03</t>
        </is>
      </c>
    </row>
    <row r="123">
      <c r="A123" s="5" t="n">
        <v>119</v>
      </c>
      <c r="B123" s="11" t="inlineStr">
        <is>
          <t>최종 출시 승인</t>
        </is>
      </c>
      <c r="C123" s="5" t="inlineStr">
        <is>
          <t>필수</t>
        </is>
      </c>
      <c r="D123" s="14" t="inlineStr">
        <is>
          <t>대표이사의 최종 출시 승인을 받았는가?</t>
        </is>
      </c>
      <c r="E123" s="11" t="inlineStr">
        <is>
          <t>대표/임원</t>
        </is>
      </c>
      <c r="F123" s="19" t="inlineStr">
        <is>
          <t>진행중</t>
        </is>
      </c>
      <c r="G123" s="14" t="inlineStr">
        <is>
          <t>이지훈 대표님 보고 및 전사 QA 결과 브리핑 후 승인 예정</t>
        </is>
      </c>
      <c r="H123" s="11" t="inlineStr">
        <is>
          <t>2026-09-04</t>
        </is>
      </c>
    </row>
    <row r="124">
      <c r="A124" s="16" t="n">
        <v>120</v>
      </c>
      <c r="B124" s="17" t="inlineStr">
        <is>
          <t>최종 출시 승인</t>
        </is>
      </c>
      <c r="C124" s="16" t="inlineStr">
        <is>
          <t>필수</t>
        </is>
      </c>
      <c r="D124" s="18" t="inlineStr">
        <is>
          <t>PG사의 서비스 오픈 서면 승인을 확인했는가?</t>
        </is>
      </c>
      <c r="E124" s="17" t="inlineStr">
        <is>
          <t>대표/사업운영</t>
        </is>
      </c>
      <c r="F124" s="19" t="inlineStr">
        <is>
          <t>진행중</t>
        </is>
      </c>
      <c r="G124" s="18" t="inlineStr">
        <is>
          <t>이노페이 상용 MID 발급 및 최종 가동 승인 대기</t>
        </is>
      </c>
      <c r="H124" s="17" t="inlineStr">
        <is>
          <t>2026-09-04</t>
        </is>
      </c>
    </row>
    <row r="125">
      <c r="A125" s="5" t="n">
        <v>121</v>
      </c>
      <c r="B125" s="11" t="inlineStr">
        <is>
          <t>최종 출시 승인</t>
        </is>
      </c>
      <c r="C125" s="5" t="inlineStr">
        <is>
          <t>필수</t>
        </is>
      </c>
      <c r="D125" s="14" t="inlineStr">
        <is>
          <t>법률·회계 최종 검토의견서를 수령했는가?</t>
        </is>
      </c>
      <c r="E125" s="11" t="inlineStr">
        <is>
          <t>법무/회계</t>
        </is>
      </c>
      <c r="F125" s="15" t="inlineStr">
        <is>
          <t>완료</t>
        </is>
      </c>
      <c r="G125" s="14" t="inlineStr">
        <is>
          <t>사내 법무 및 세무 리스크 점검 완료</t>
        </is>
      </c>
      <c r="H125" s="11" t="inlineStr">
        <is>
          <t>2026-08-31</t>
        </is>
      </c>
    </row>
    <row r="126">
      <c r="A126" s="16" t="n">
        <v>122</v>
      </c>
      <c r="B126" s="17" t="inlineStr">
        <is>
          <t>최종 출시 승인</t>
        </is>
      </c>
      <c r="C126" s="16" t="inlineStr">
        <is>
          <t>필수</t>
        </is>
      </c>
      <c r="D126" s="18" t="inlineStr">
        <is>
          <t>고객사와의 계약 체결을 완료했는가?</t>
        </is>
      </c>
      <c r="E126" s="17" t="inlineStr">
        <is>
          <t>사업운영</t>
        </is>
      </c>
      <c r="F126" s="19" t="inlineStr">
        <is>
          <t>진행중</t>
        </is>
      </c>
      <c r="G126" s="18" t="inlineStr">
        <is>
          <t>1호 장례식장 파트너 계약 날인 진행 중</t>
        </is>
      </c>
      <c r="H126" s="17" t="inlineStr">
        <is>
          <t>2026-09-04</t>
        </is>
      </c>
    </row>
    <row r="127">
      <c r="A127" s="5" t="n">
        <v>123</v>
      </c>
      <c r="B127" s="11" t="inlineStr">
        <is>
          <t>최종 출시 승인</t>
        </is>
      </c>
      <c r="C127" s="5" t="inlineStr">
        <is>
          <t>필수</t>
        </is>
      </c>
      <c r="D127" s="14" t="inlineStr">
        <is>
          <t>서비스 이용약관 공시를 완료했는가?</t>
        </is>
      </c>
      <c r="E127" s="11" t="inlineStr">
        <is>
          <t>기획/법무</t>
        </is>
      </c>
      <c r="F127" s="15" t="inlineStr">
        <is>
          <t>완료</t>
        </is>
      </c>
      <c r="G127" s="14" t="inlineStr">
        <is>
          <t>iumbugo.com 하단 이용약관 및 개인정보처리방침 게시</t>
        </is>
      </c>
      <c r="H127" s="11" t="inlineStr">
        <is>
          <t>2026-09-02</t>
        </is>
      </c>
    </row>
    <row r="128">
      <c r="A128" s="16" t="n">
        <v>124</v>
      </c>
      <c r="B128" s="17" t="inlineStr">
        <is>
          <t>최종 출시 승인</t>
        </is>
      </c>
      <c r="C128" s="16" t="inlineStr">
        <is>
          <t>필수</t>
        </is>
      </c>
      <c r="D128" s="18" t="inlineStr">
        <is>
          <t>프로덕션 서버 배포 및 점검을 완료했는가?</t>
        </is>
      </c>
      <c r="E128" s="17" t="inlineStr">
        <is>
          <t>개발</t>
        </is>
      </c>
      <c r="F128" s="15" t="inlineStr">
        <is>
          <t>완료</t>
        </is>
      </c>
      <c r="G128" s="18" t="inlineStr">
        <is>
          <t>AWS EC2 실서버(Spring Boot + Next.js 16) 무중단 배포 완료</t>
        </is>
      </c>
      <c r="H128" s="17" t="inlineStr">
        <is>
          <t>2026-09-02</t>
        </is>
      </c>
    </row>
    <row r="129">
      <c r="A129" s="5" t="n">
        <v>125</v>
      </c>
      <c r="B129" s="11" t="inlineStr">
        <is>
          <t>최종 출시 승인</t>
        </is>
      </c>
      <c r="C129" s="5" t="inlineStr">
        <is>
          <t>필수</t>
        </is>
      </c>
      <c r="D129" s="14" t="inlineStr">
        <is>
          <t>비상연락망 및 핫라인을 구축했는가?</t>
        </is>
      </c>
      <c r="E129" s="11" t="inlineStr">
        <is>
          <t>사업운영/개발</t>
        </is>
      </c>
      <c r="F129" s="15" t="inlineStr">
        <is>
          <t>완료</t>
        </is>
      </c>
      <c r="G129" s="14" t="inlineStr">
        <is>
          <t>사내 슬랙 비상채널 및 임원진 핫라인 구축 완료</t>
        </is>
      </c>
      <c r="H129" s="11" t="inlineStr">
        <is>
          <t>2026-09-02</t>
        </is>
      </c>
    </row>
    <row r="130">
      <c r="A130" s="16" t="n">
        <v>126</v>
      </c>
      <c r="B130" s="17" t="inlineStr">
        <is>
          <t>최종 출시 승인</t>
        </is>
      </c>
      <c r="C130" s="16" t="inlineStr">
        <is>
          <t>필수</t>
        </is>
      </c>
      <c r="D130" s="18" t="inlineStr">
        <is>
          <t>1차 모니터링 담당자를 지정했는가?</t>
        </is>
      </c>
      <c r="E130" s="17" t="inlineStr">
        <is>
          <t>사업운영/개발</t>
        </is>
      </c>
      <c r="F130" s="15" t="inlineStr">
        <is>
          <t>완료</t>
        </is>
      </c>
      <c r="G130" s="18" t="inlineStr">
        <is>
          <t>개발팀 백엔드/프론트 및 운영팀 담당자 지정 완료</t>
        </is>
      </c>
      <c r="H130" s="17" t="inlineStr">
        <is>
          <t>2026-09-02</t>
        </is>
      </c>
    </row>
    <row r="131">
      <c r="A131" s="5" t="n">
        <v>127</v>
      </c>
      <c r="B131" s="11" t="inlineStr">
        <is>
          <t>최종 출시 승인</t>
        </is>
      </c>
      <c r="C131" s="5" t="inlineStr">
        <is>
          <t>필수</t>
        </is>
      </c>
      <c r="D131" s="14" t="inlineStr">
        <is>
          <t>출시 안내 공지 및 배포를 완료했는가?</t>
        </is>
      </c>
      <c r="E131" s="11" t="inlineStr">
        <is>
          <t>사업운영/마케팅</t>
        </is>
      </c>
      <c r="F131" s="19" t="inlineStr">
        <is>
          <t>진행중</t>
        </is>
      </c>
      <c r="G131" s="14" t="inlineStr">
        <is>
          <t>대표님 승인 직후 전사 임직원 및 제휴사 공지 예정</t>
        </is>
      </c>
      <c r="H131" s="11" t="inlineStr">
        <is>
          <t>2026-09-05</t>
        </is>
      </c>
    </row>
  </sheetData>
  <mergeCells count="2">
    <mergeCell ref="A2:H2"/>
    <mergeCell ref="A1:H1"/>
  </mergeCells>
  <dataValidations count="2">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showDropDown="0" showInputMessage="0" showErrorMessage="0" allowBlank="1" type="list">
      <formula1>"완료,진행중,미확인,해당없음"</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showDropDown="0" showInputMessage="0" showErrorMessage="0" allowBlank="1" type="list">
      <formula1>"필수,선택"</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showGridLines="1" workbookViewId="0">
      <selection activeCell="A1" sqref="A1"/>
    </sheetView>
  </sheetViews>
  <sheetFormatPr baseColWidth="8" defaultRowHeight="15"/>
  <cols>
    <col width="8" customWidth="1" min="1" max="1"/>
    <col width="16" customWidth="1" min="2" max="2"/>
    <col width="28" customWidth="1" min="3" max="3"/>
    <col width="48" customWidth="1" min="4" max="4"/>
    <col width="50" customWidth="1" min="5" max="5"/>
    <col width="14" customWidth="1" min="6" max="6"/>
    <col width="35" customWidth="1" min="7" max="7"/>
    <col width="12" customWidth="1" min="8" max="8"/>
  </cols>
  <sheetData>
    <row r="1">
      <c r="A1" s="20" t="inlineStr">
        <is>
          <t>[영업팀 관점] B2B 파트너 등록 ➔ QR 포스터 인쇄 ➔ 부고장 작성 ➔ 실적 귀속 검증</t>
        </is>
      </c>
    </row>
    <row r="2">
      <c r="A2" s="12" t="inlineStr">
        <is>
          <t>목적: 장례식장 영업 후 전용 QR 코드로 부고장이 생성되고 파트너 계정으로 실적 및 수수료가 정상 집계되는지 검증함.</t>
        </is>
      </c>
    </row>
    <row r="4">
      <c r="A4" s="2" t="inlineStr">
        <is>
          <t>No</t>
        </is>
      </c>
      <c r="B4" s="2" t="inlineStr">
        <is>
          <t>구분</t>
        </is>
      </c>
      <c r="C4" s="2" t="inlineStr">
        <is>
          <t>테스트 항목</t>
        </is>
      </c>
      <c r="D4" s="2" t="inlineStr">
        <is>
          <t>확인 방법 (Action)</t>
        </is>
      </c>
      <c r="E4" s="2" t="inlineStr">
        <is>
          <t>정상 기준 (Expected Result)</t>
        </is>
      </c>
      <c r="F4" s="2" t="inlineStr">
        <is>
          <t>확인 결과</t>
        </is>
      </c>
      <c r="G4" s="2" t="inlineStr">
        <is>
          <t>메모 및 수정요청사항</t>
        </is>
      </c>
      <c r="H4" s="2" t="inlineStr">
        <is>
          <t>확인자</t>
        </is>
      </c>
    </row>
    <row r="5">
      <c r="A5" s="5" t="n">
        <v>1</v>
      </c>
      <c r="B5" s="11" t="inlineStr">
        <is>
          <t>파트너 등록</t>
        </is>
      </c>
      <c r="C5" s="14" t="inlineStr">
        <is>
          <t>관리자 화면에서 장례식장 등록</t>
        </is>
      </c>
      <c r="D5" s="14" t="inlineStr">
        <is>
          <t>/admin/partners 접속 (비번 1010) ➔ [신규 파트너 등록] 클릭하여 업체명, 코드(gangso), 연락처 입력 후 저장.</t>
        </is>
      </c>
      <c r="E5" s="14" t="inlineStr">
        <is>
          <t>파트너 목록에 정상 등록 및 고유 식별 코드(gangso) 발급 확인됨.</t>
        </is>
      </c>
      <c r="F5" s="5" t="inlineStr">
        <is>
          <t>미수행</t>
        </is>
      </c>
      <c r="G5" s="14" t="inlineStr"/>
      <c r="H5" s="11" t="inlineStr"/>
    </row>
    <row r="6">
      <c r="A6" s="16" t="n">
        <v>2</v>
      </c>
      <c r="B6" s="17" t="inlineStr">
        <is>
          <t>전용 링크</t>
        </is>
      </c>
      <c r="C6" s="18" t="inlineStr">
        <is>
          <t>장례식장 전용 부고 주소 접속</t>
        </is>
      </c>
      <c r="D6" s="18" t="inlineStr">
        <is>
          <t>https://iumbugo.com/create/basic?partner=gangso 주소로 브라우저 접속.</t>
        </is>
      </c>
      <c r="E6" s="18" t="inlineStr">
        <is>
          <t>파트너 전용 부고 작성 화면이 에러 없이 정상 로딩됨.</t>
        </is>
      </c>
      <c r="F6" s="16" t="inlineStr">
        <is>
          <t>미수행</t>
        </is>
      </c>
      <c r="G6" s="18" t="inlineStr"/>
      <c r="H6" s="17" t="inlineStr"/>
    </row>
    <row r="7">
      <c r="A7" s="5" t="n">
        <v>3</v>
      </c>
      <c r="B7" s="11" t="inlineStr">
        <is>
          <t>QR 포스터</t>
        </is>
      </c>
      <c r="C7" s="14" t="inlineStr">
        <is>
          <t>카운터 비치용 A4 QR 포스터 화면 출력</t>
        </is>
      </c>
      <c r="D7" s="14" t="inlineStr">
        <is>
          <t>https://iumbugo.com/partner/poster 접속 후 코드(gangso) 입력.</t>
        </is>
      </c>
      <c r="E7" s="14" t="inlineStr">
        <is>
          <t>장례식장 상호명과 고유 QR 코드가 A4 포스터 형태로 정상 출력됨.</t>
        </is>
      </c>
      <c r="F7" s="5" t="inlineStr">
        <is>
          <t>미수행</t>
        </is>
      </c>
      <c r="G7" s="14" t="inlineStr"/>
      <c r="H7" s="11" t="inlineStr"/>
    </row>
    <row r="8">
      <c r="A8" s="16" t="n">
        <v>4</v>
      </c>
      <c r="B8" s="17" t="inlineStr">
        <is>
          <t>QR 스캔</t>
        </is>
      </c>
      <c r="C8" s="18" t="inlineStr">
        <is>
          <t>스마트폰 카메라로 포스터 QR 스캔</t>
        </is>
      </c>
      <c r="D8" s="18" t="inlineStr">
        <is>
          <t>스마트폰 카메라로 화면 속 QR 코드를 스캔하여 링크 이동.</t>
        </is>
      </c>
      <c r="E8" s="18" t="inlineStr">
        <is>
          <t>모바일 브라우저에서 전용 부고 작성 화면으로 즉시 연결됨.</t>
        </is>
      </c>
      <c r="F8" s="16" t="inlineStr">
        <is>
          <t>미수행</t>
        </is>
      </c>
      <c r="G8" s="18" t="inlineStr"/>
      <c r="H8" s="17" t="inlineStr"/>
    </row>
    <row r="9">
      <c r="A9" s="5" t="n">
        <v>5</v>
      </c>
      <c r="B9" s="11" t="inlineStr">
        <is>
          <t>부고장 생성</t>
        </is>
      </c>
      <c r="C9" s="14" t="inlineStr">
        <is>
          <t>QR 링크를 통한 유가족 부고장 작성</t>
        </is>
      </c>
      <c r="D9" s="14" t="inlineStr">
        <is>
          <t>고인명, 상주명, 계좌번호 입력 후 [부고장 완성하기] 클릭.</t>
        </is>
      </c>
      <c r="E9" s="14" t="inlineStr">
        <is>
          <t>부고장이 정상 생성되고 백엔드 DB 내 파트너 실적으로 자동 귀속됨.</t>
        </is>
      </c>
      <c r="F9" s="5" t="inlineStr">
        <is>
          <t>미수행</t>
        </is>
      </c>
      <c r="G9" s="14" t="inlineStr"/>
      <c r="H9" s="11" t="inlineStr"/>
    </row>
    <row r="10">
      <c r="A10" s="16" t="n">
        <v>6</v>
      </c>
      <c r="B10" s="17" t="inlineStr">
        <is>
          <t>파트너 로그인</t>
        </is>
      </c>
      <c r="C10" s="18" t="inlineStr">
        <is>
          <t>장례식장 전용 대시보드 로그인</t>
        </is>
      </c>
      <c r="D10" s="18" t="inlineStr">
        <is>
          <t>https://iumbugo.com/partner/login 접속 ➔ 아이디(gangso), 비번(Aa1234!@#$) 입력 후 로그인.</t>
        </is>
      </c>
      <c r="E10" s="18" t="inlineStr">
        <is>
          <t>파트너 전용 대시보드(/partner/dashboard)로 정상 이동함.</t>
        </is>
      </c>
      <c r="F10" s="16" t="inlineStr">
        <is>
          <t>미수행</t>
        </is>
      </c>
      <c r="G10" s="18" t="inlineStr"/>
      <c r="H10" s="17" t="inlineStr"/>
    </row>
    <row r="11">
      <c r="A11" s="5" t="n">
        <v>7</v>
      </c>
      <c r="B11" s="11" t="inlineStr">
        <is>
          <t>실적 집계</t>
        </is>
      </c>
      <c r="C11" s="14" t="inlineStr">
        <is>
          <t>대시보드 실시간 부고 발행 건수 확인</t>
        </is>
      </c>
      <c r="D11" s="14" t="inlineStr">
        <is>
          <t>파트너 대시보드에서 '금일 발행 건수' 및 '누적 건수' 확인.</t>
        </is>
      </c>
      <c r="E11" s="14" t="inlineStr">
        <is>
          <t>방금 작성한 부고장이 실시간 카운트(+1건)에 즉시 반영됨.</t>
        </is>
      </c>
      <c r="F11" s="5" t="inlineStr">
        <is>
          <t>미수행</t>
        </is>
      </c>
      <c r="G11" s="14" t="inlineStr"/>
      <c r="H11" s="11" t="inlineStr"/>
    </row>
    <row r="12">
      <c r="A12" s="16" t="n">
        <v>8</v>
      </c>
      <c r="B12" s="17" t="inlineStr">
        <is>
          <t>정산금 확인</t>
        </is>
      </c>
      <c r="C12" s="18" t="inlineStr">
        <is>
          <t>파트너 수수료 정산 예정액 표시</t>
        </is>
      </c>
      <c r="D12" s="18" t="inlineStr">
        <is>
          <t>파트너 대시보드 내 정산/수수료 탭 확인.</t>
        </is>
      </c>
      <c r="E12" s="18" t="inlineStr">
        <is>
          <t>약정된 요율에 따라 파트너 정산 예정 금액이 정상 계산되어 노출됨.</t>
        </is>
      </c>
      <c r="F12" s="16" t="inlineStr">
        <is>
          <t>미수행</t>
        </is>
      </c>
      <c r="G12" s="18" t="inlineStr"/>
      <c r="H12" s="17" t="inlineStr"/>
    </row>
    <row r="13">
      <c r="A13" s="5" t="n">
        <v>9</v>
      </c>
      <c r="B13" s="11" t="inlineStr">
        <is>
          <t>부고 목록</t>
        </is>
      </c>
      <c r="C13" s="14" t="inlineStr">
        <is>
          <t>해당 장례식장 부고 목록 격리 확인</t>
        </is>
      </c>
      <c r="D13" s="14" t="inlineStr">
        <is>
          <t>파트너 대시보드에서 [발행된 부고 목록] 확인.</t>
        </is>
      </c>
      <c r="E13" s="14" t="inlineStr">
        <is>
          <t>본인 장례식장 부고만 보이고 타 장례식장 부고는 차단됨 (보안 격리).</t>
        </is>
      </c>
      <c r="F13" s="5" t="inlineStr">
        <is>
          <t>미수행</t>
        </is>
      </c>
      <c r="G13" s="14" t="inlineStr"/>
      <c r="H13" s="11" t="inlineStr"/>
    </row>
    <row r="14">
      <c r="A14" s="16" t="n">
        <v>10</v>
      </c>
      <c r="B14" s="17" t="inlineStr">
        <is>
          <t>모바일 조작</t>
        </is>
      </c>
      <c r="C14" s="18" t="inlineStr">
        <is>
          <t>모바일/태블릿 화면 대시보드 조작</t>
        </is>
      </c>
      <c r="D14" s="18" t="inlineStr">
        <is>
          <t>스마트폰 브라우저로 파트너 대시보드 접속 후 터치 조작.</t>
        </is>
      </c>
      <c r="E14" s="18" t="inlineStr">
        <is>
          <t>모바일 화면에서 깨짐 없이 통계 및 목록이 정상 노출됨.</t>
        </is>
      </c>
      <c r="F14" s="16" t="inlineStr">
        <is>
          <t>미수행</t>
        </is>
      </c>
      <c r="G14" s="18" t="inlineStr"/>
      <c r="H14" s="17" t="inlineStr"/>
    </row>
  </sheetData>
  <mergeCells count="2">
    <mergeCell ref="A2:G2"/>
    <mergeCell ref="A1:G1"/>
  </mergeCells>
  <dataValidations count="1">
    <dataValidation sqref="F5 F6 F7 F8 F9 F10 F11 F12 F13 F14 F15 F16 F17 F18 F19" showDropDown="0" showInputMessage="0" showErrorMessage="0" allowBlank="1" type="list">
      <formula1>"정상,오류,확인필요,미수행"</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showGridLines="1" workbookViewId="0">
      <selection activeCell="A1" sqref="A1"/>
    </sheetView>
  </sheetViews>
  <sheetFormatPr baseColWidth="8" defaultRowHeight="15"/>
  <cols>
    <col width="8" customWidth="1" min="1" max="1"/>
    <col width="16" customWidth="1" min="2" max="2"/>
    <col width="28" customWidth="1" min="3" max="3"/>
    <col width="48" customWidth="1" min="4" max="4"/>
    <col width="50" customWidth="1" min="5" max="5"/>
    <col width="14" customWidth="1" min="6" max="6"/>
    <col width="35" customWidth="1" min="7" max="7"/>
    <col width="12" customWidth="1" min="8" max="8"/>
  </cols>
  <sheetData>
    <row r="1">
      <c r="A1" s="20" t="inlineStr">
        <is>
          <t>[운영팀 관점] 4종 템플릿 · 가족장/무빈소 · 시간 복원 · 부의금 카드결제 검증</t>
        </is>
      </c>
    </row>
    <row r="2">
      <c r="A2" s="12" t="inlineStr">
        <is>
          <t>목적: 부고장 제작, 시간 데이터 저장/복원, 결제 파라미터(md_iumbugo) 및 관리자 기능 무결성을 검증함.</t>
        </is>
      </c>
    </row>
    <row r="4">
      <c r="A4" s="10" t="inlineStr">
        <is>
          <t>No</t>
        </is>
      </c>
      <c r="B4" s="10" t="inlineStr">
        <is>
          <t>구분</t>
        </is>
      </c>
      <c r="C4" s="10" t="inlineStr">
        <is>
          <t>테스트 항목</t>
        </is>
      </c>
      <c r="D4" s="10" t="inlineStr">
        <is>
          <t>확인 방법 (Action)</t>
        </is>
      </c>
      <c r="E4" s="10" t="inlineStr">
        <is>
          <t>정상 기준 (Expected Result)</t>
        </is>
      </c>
      <c r="F4" s="10" t="inlineStr">
        <is>
          <t>확인 결과</t>
        </is>
      </c>
      <c r="G4" s="10" t="inlineStr">
        <is>
          <t>메모 및 수정요청사항</t>
        </is>
      </c>
      <c r="H4" s="10" t="inlineStr">
        <is>
          <t>확인자</t>
        </is>
      </c>
    </row>
    <row r="5">
      <c r="A5" s="5" t="n">
        <v>1</v>
      </c>
      <c r="B5" s="11" t="inlineStr">
        <is>
          <t>템플릿</t>
        </is>
      </c>
      <c r="C5" s="14" t="inlineStr">
        <is>
          <t>4종 템플릿 디자인 화면 노출</t>
        </is>
      </c>
      <c r="D5" s="14" t="inlineStr">
        <is>
          <t>/create 접속 ➔ 기본형, 정중형, 안내형, 국화 4개 템플릿 각각 클릭.</t>
        </is>
      </c>
      <c r="E5" s="14" t="inlineStr">
        <is>
          <t>4종 템플릿 배경 그래픽과 레이아웃이 화면 깨짐 없이 정상 노출됨.</t>
        </is>
      </c>
      <c r="F5" s="5" t="inlineStr">
        <is>
          <t>미수행</t>
        </is>
      </c>
      <c r="G5" s="14" t="inlineStr"/>
      <c r="H5" s="11" t="inlineStr"/>
    </row>
    <row r="6">
      <c r="A6" s="16" t="n">
        <v>2</v>
      </c>
      <c r="B6" s="17" t="inlineStr">
        <is>
          <t>장례 형식</t>
        </is>
      </c>
      <c r="C6" s="18" t="inlineStr">
        <is>
          <t>가족장 작성 및 장례식장 검색 검증</t>
        </is>
      </c>
      <c r="D6" s="18" t="inlineStr">
        <is>
          <t>장례 형식 '가족장' 선택 ➔ 장례식장 검색(/api/facilities/search) 및 호실/발인일시 입력.</t>
        </is>
      </c>
      <c r="E6" s="18" t="inlineStr">
        <is>
          <t>장례식장 검색 팝업이 정상 작동하고 부고장이 정상 생성됨.</t>
        </is>
      </c>
      <c r="F6" s="16" t="inlineStr">
        <is>
          <t>미수행</t>
        </is>
      </c>
      <c r="G6" s="18" t="inlineStr"/>
      <c r="H6" s="17" t="inlineStr"/>
    </row>
    <row r="7">
      <c r="A7" s="5" t="n">
        <v>3</v>
      </c>
      <c r="B7" s="11" t="inlineStr">
        <is>
          <t>장례 형식</t>
        </is>
      </c>
      <c r="C7" s="14" t="inlineStr">
        <is>
          <t>무빈소 장례 발인일시 선택 완화</t>
        </is>
      </c>
      <c r="D7" s="14" t="inlineStr">
        <is>
          <t>장례 형식 '무빈소장례' 선택 ➔ 발인일시 비워둔 상태로 생성.</t>
        </is>
      </c>
      <c r="E7" s="14" t="inlineStr">
        <is>
          <t>발인일시 미입력 상태에서도 유효성 통과 및 부고장이 정상 생성됨.</t>
        </is>
      </c>
      <c r="F7" s="5" t="inlineStr">
        <is>
          <t>미수행</t>
        </is>
      </c>
      <c r="G7" s="14" t="inlineStr"/>
      <c r="H7" s="11" t="inlineStr"/>
    </row>
    <row r="8">
      <c r="A8" s="16" t="n">
        <v>4</v>
      </c>
      <c r="B8" s="17" t="inlineStr">
        <is>
          <t>안내 문구</t>
        </is>
      </c>
      <c r="C8" s="18" t="inlineStr">
        <is>
          <t>가족장/무빈소 전용 안내 문구 세팅</t>
        </is>
      </c>
      <c r="D8" s="18" t="inlineStr">
        <is>
          <t>가족장 및 무빈소장례 선택 시 안내 문구 영역 확인.</t>
        </is>
      </c>
      <c r="E8" s="18" t="inlineStr">
        <is>
          <t>선택한 장례 형식에 맞는 기본 안내 문구가 자동 세팅됨.</t>
        </is>
      </c>
      <c r="F8" s="16" t="inlineStr">
        <is>
          <t>미수행</t>
        </is>
      </c>
      <c r="G8" s="18" t="inlineStr"/>
      <c r="H8" s="17" t="inlineStr"/>
    </row>
    <row r="9">
      <c r="A9" s="5" t="n">
        <v>5</v>
      </c>
      <c r="B9" s="11" t="inlineStr">
        <is>
          <t>임종 시간</t>
        </is>
      </c>
      <c r="C9" s="14" t="inlineStr">
        <is>
          <t>별세 일자 및 임종 시간 저장</t>
        </is>
      </c>
      <c r="D9" s="14" t="inlineStr">
        <is>
          <t>고인 정보에 별세일자(2026-10-01)와 임종시간(14:30) 입력 후 저장.</t>
        </is>
      </c>
      <c r="E9" s="14" t="inlineStr">
        <is>
          <t>백엔드 DB에 정상 저장되고 부고장 뷰어에 '14:30' 별세 일시가 정확히 표시됨.</t>
        </is>
      </c>
      <c r="F9" s="5" t="inlineStr">
        <is>
          <t>미수행</t>
        </is>
      </c>
      <c r="G9" s="14" t="inlineStr"/>
      <c r="H9" s="11" t="inlineStr"/>
    </row>
    <row r="10">
      <c r="A10" s="16" t="n">
        <v>6</v>
      </c>
      <c r="B10" s="17" t="inlineStr">
        <is>
          <t>수정 복원</t>
        </is>
      </c>
      <c r="C10" s="18" t="inlineStr">
        <is>
          <t>수정하기 재진입 시 시간/계좌 복원</t>
        </is>
      </c>
      <c r="D10" s="18" t="inlineStr">
        <is>
          <t>부고 완성 후 [수정하기] 버튼 클릭하여 수정 페이지(/create/edit) 재진입.</t>
        </is>
      </c>
      <c r="E10" s="18" t="inlineStr">
        <is>
          <t>기존에 입력한 임종시간, 발인시간, 상주 계좌번호가 100% 온전히 복원됨.</t>
        </is>
      </c>
      <c r="F10" s="16" t="inlineStr">
        <is>
          <t>미수행</t>
        </is>
      </c>
      <c r="G10" s="18" t="inlineStr"/>
      <c r="H10" s="17" t="inlineStr"/>
    </row>
    <row r="11">
      <c r="A11" s="5" t="n">
        <v>7</v>
      </c>
      <c r="B11" s="11" t="inlineStr">
        <is>
          <t>상주/계좌</t>
        </is>
      </c>
      <c r="C11" s="14" t="inlineStr">
        <is>
          <t>대표상주 및 추가상주 다중 등록</t>
        </is>
      </c>
      <c r="D11" s="14" t="inlineStr">
        <is>
          <t>[+ 상주 추가] 클릭하여 가족 2~3명 이름 및 계좌번호 입력.</t>
        </is>
      </c>
      <c r="E11" s="14" t="inlineStr">
        <is>
          <t>상주별 관계, 성함, 은행, 계좌번호가 부고장에 순서대로 정상 노출됨.</t>
        </is>
      </c>
      <c r="F11" s="5" t="inlineStr">
        <is>
          <t>미수행</t>
        </is>
      </c>
      <c r="G11" s="14" t="inlineStr"/>
      <c r="H11" s="11" t="inlineStr"/>
    </row>
    <row r="12">
      <c r="A12" s="16" t="n">
        <v>8</v>
      </c>
      <c r="B12" s="17" t="inlineStr">
        <is>
          <t>부고 뷰어</t>
        </is>
      </c>
      <c r="C12" s="18" t="inlineStr">
        <is>
          <t>모바일 부고장 뷰어 화면 가독성</t>
        </is>
      </c>
      <c r="D12" s="18" t="inlineStr">
        <is>
          <t>완성된 부고장 링크(https://iumbugo.com/view/EB...) 스마트폰으로 열기.</t>
        </is>
      </c>
      <c r="E12" s="18" t="inlineStr">
        <is>
          <t>고인명, 향년, 일정, 상주 목록이 겹침 없이 모바일 화면에 깔끔히 정렬됨.</t>
        </is>
      </c>
      <c r="F12" s="16" t="inlineStr">
        <is>
          <t>미수행</t>
        </is>
      </c>
      <c r="G12" s="18" t="inlineStr"/>
      <c r="H12" s="17" t="inlineStr"/>
    </row>
    <row r="13">
      <c r="A13" s="5" t="n">
        <v>9</v>
      </c>
      <c r="B13" s="11" t="inlineStr">
        <is>
          <t>무빈소 뷰어</t>
        </is>
      </c>
      <c r="C13" s="14" t="inlineStr">
        <is>
          <t>무빈소 부고장의 빈소 숨김/발인 표시</t>
        </is>
      </c>
      <c r="D13" s="14" t="inlineStr">
        <is>
          <t>무빈소로 제작된 부고장 화면 열기.</t>
        </is>
      </c>
      <c r="E13" s="14" t="inlineStr">
        <is>
          <t>장례식장 빈소 박스는 숨겨지고 유가족이 입력한 발인/화장 일시만 정상 노출됨.</t>
        </is>
      </c>
      <c r="F13" s="5" t="inlineStr">
        <is>
          <t>미수행</t>
        </is>
      </c>
      <c r="G13" s="14" t="inlineStr"/>
      <c r="H13" s="11" t="inlineStr"/>
    </row>
    <row r="14">
      <c r="A14" s="16" t="n">
        <v>10</v>
      </c>
      <c r="B14" s="17" t="inlineStr">
        <is>
          <t>지도 길찾기</t>
        </is>
      </c>
      <c r="C14" s="18" t="inlineStr">
        <is>
          <t>장례식장 지도 연동 및 내비게이션</t>
        </is>
      </c>
      <c r="D14" s="18" t="inlineStr">
        <is>
          <t>가족장 부고장 하단의 [지도보기 / 길찾기] 버튼 클릭.</t>
        </is>
      </c>
      <c r="E14" s="18" t="inlineStr">
        <is>
          <t>해당 장례식장 위치로 네이버지도/카카오맵 길찾기가 새 창으로 정상 연결됨.</t>
        </is>
      </c>
      <c r="F14" s="16" t="inlineStr">
        <is>
          <t>미수행</t>
        </is>
      </c>
      <c r="G14" s="18" t="inlineStr"/>
      <c r="H14" s="17" t="inlineStr"/>
    </row>
    <row r="15">
      <c r="A15" s="5" t="n">
        <v>11</v>
      </c>
      <c r="B15" s="11" t="inlineStr">
        <is>
          <t>카카오 공유</t>
        </is>
      </c>
      <c r="C15" s="14" t="inlineStr">
        <is>
          <t>카카오톡 메시지 카드 전송</t>
        </is>
      </c>
      <c r="D15" s="14" t="inlineStr">
        <is>
          <t>[지인에게 공유하기] ➔ [카카오톡 공유] 클릭하여 대화방으로 전송.</t>
        </is>
      </c>
      <c r="E15" s="14" t="inlineStr">
        <is>
          <t>카카오톡 메시지 카드에 고인명, 향년, 장례식장, 대표 이미지가 정상 전송됨.</t>
        </is>
      </c>
      <c r="F15" s="5" t="inlineStr">
        <is>
          <t>미수행</t>
        </is>
      </c>
      <c r="G15" s="14" t="inlineStr"/>
      <c r="H15" s="11" t="inlineStr"/>
    </row>
    <row r="16">
      <c r="A16" s="16" t="n">
        <v>12</v>
      </c>
      <c r="B16" s="17" t="inlineStr">
        <is>
          <t>링크 복사</t>
        </is>
      </c>
      <c r="C16" s="18" t="inlineStr">
        <is>
          <t>부고장 URL 클립보드 복사</t>
        </is>
      </c>
      <c r="D16" s="18" t="inlineStr">
        <is>
          <t>[링크 복사] 클릭 ➔ 메모장에 붙여넣기(Ctrl+V).</t>
        </is>
      </c>
      <c r="E16" s="18" t="inlineStr">
        <is>
          <t>클립보드에 부고장 주소가 복사되고 '복사되었습니다' 토스트 알림이 뜸.</t>
        </is>
      </c>
      <c r="F16" s="16" t="inlineStr">
        <is>
          <t>미수행</t>
        </is>
      </c>
      <c r="G16" s="18" t="inlineStr"/>
      <c r="H16" s="17" t="inlineStr"/>
    </row>
    <row r="17">
      <c r="A17" s="5" t="n">
        <v>13</v>
      </c>
      <c r="B17" s="11" t="inlineStr">
        <is>
          <t>카드결제 연결</t>
        </is>
      </c>
      <c r="C17" s="14" t="inlineStr">
        <is>
          <t>부의금 카드결제 버튼 연동</t>
        </is>
      </c>
      <c r="D17" s="14" t="inlineStr">
        <is>
          <t>[부의금 보내기] ➔ 상주 계좌 확인 ➔ [💳 카드결제] 버튼 클릭.</t>
        </is>
      </c>
      <c r="E17" s="14" t="inlineStr">
        <is>
          <t>부의페이 결제창으로 상주 성함, 계좌번호, 매체코드(md_iumbugo)가 정상 전달됨.</t>
        </is>
      </c>
      <c r="F17" s="5" t="inlineStr">
        <is>
          <t>미수행</t>
        </is>
      </c>
      <c r="G17" s="14" t="inlineStr"/>
      <c r="H17" s="11" t="inlineStr"/>
    </row>
    <row r="18">
      <c r="A18" s="16" t="n">
        <v>14</v>
      </c>
      <c r="B18" s="17" t="inlineStr">
        <is>
          <t>PG 결제창</t>
        </is>
      </c>
      <c r="C18" s="18" t="inlineStr">
        <is>
          <t>결제 금액 선택 및 신용카드창 호출</t>
        </is>
      </c>
      <c r="D18" s="18" t="inlineStr">
        <is>
          <t>부의페이 화면에서 금액(50,000원) 선택 후 [결제하기] 클릭.</t>
        </is>
      </c>
      <c r="E18" s="18" t="inlineStr">
        <is>
          <t>이노페이 신용카드 결제 모듈이 정상 팝업되며 카드사 선택 화면이 열림.</t>
        </is>
      </c>
      <c r="F18" s="16" t="inlineStr">
        <is>
          <t>미수행</t>
        </is>
      </c>
      <c r="G18" s="18" t="inlineStr"/>
      <c r="H18" s="17" t="inlineStr"/>
    </row>
    <row r="19">
      <c r="A19" s="5" t="n">
        <v>15</v>
      </c>
      <c r="B19" s="11" t="inlineStr">
        <is>
          <t>어드민 관리</t>
        </is>
      </c>
      <c r="C19" s="14" t="inlineStr">
        <is>
          <t>관리자 화면에서 부고 조회 및 관리</t>
        </is>
      </c>
      <c r="D19" s="14" t="inlineStr">
        <is>
          <t>/admin 접속 (비번 1010) ➔ 부고 목록 확인.</t>
        </is>
      </c>
      <c r="E19" s="14" t="inlineStr">
        <is>
          <t>생성된 부고가 목록 최상단에 실시간 노출되며 상세조회/수정/삭제가 정상 작동함.</t>
        </is>
      </c>
      <c r="F19" s="5" t="inlineStr">
        <is>
          <t>미수행</t>
        </is>
      </c>
      <c r="G19" s="14" t="inlineStr"/>
      <c r="H19" s="11" t="inlineStr"/>
    </row>
  </sheetData>
  <mergeCells count="2">
    <mergeCell ref="A2:G2"/>
    <mergeCell ref="A1:G1"/>
  </mergeCells>
  <dataValidations count="1">
    <dataValidation sqref="F5 F6 F7 F8 F9 F10 F11 F12 F13 F14 F15 F16 F17 F18 F19" showDropDown="0" showInputMessage="0" showErrorMessage="0" allowBlank="1" type="list">
      <formula1>"정상,오류,확인필요,미수행"</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showGridLines="1" workbookViewId="0">
      <selection activeCell="A1" sqref="A1"/>
    </sheetView>
  </sheetViews>
  <sheetFormatPr baseColWidth="8" defaultRowHeight="15"/>
  <cols>
    <col width="8" customWidth="1" min="1" max="1"/>
    <col width="16" customWidth="1" min="2" max="2"/>
    <col width="28" customWidth="1" min="3" max="3"/>
    <col width="48" customWidth="1" min="4" max="4"/>
    <col width="50" customWidth="1" min="5" max="5"/>
    <col width="14" customWidth="1" min="6" max="6"/>
    <col width="35" customWidth="1" min="7" max="7"/>
    <col width="12" customWidth="1" min="8" max="8"/>
  </cols>
  <sheetData>
    <row r="1">
      <c r="A1" s="20" t="inlineStr">
        <is>
          <t>[디자인/UI·UX 관점] 모바일 반응형 · 템플릿 명도대비 · 버튼 터치 영역 검증</t>
        </is>
      </c>
    </row>
    <row r="2">
      <c r="A2" s="12" t="inlineStr">
        <is>
          <t>목적: 고령층 조문객 가독성, 기종별 안전 여백, 버튼 클릭감 및 비주얼 완성도를 검증함.</t>
        </is>
      </c>
    </row>
    <row r="4">
      <c r="A4" s="2" t="inlineStr">
        <is>
          <t>No</t>
        </is>
      </c>
      <c r="B4" s="2" t="inlineStr">
        <is>
          <t>구분</t>
        </is>
      </c>
      <c r="C4" s="2" t="inlineStr">
        <is>
          <t>테스트 항목</t>
        </is>
      </c>
      <c r="D4" s="2" t="inlineStr">
        <is>
          <t>확인 방법 (Action)</t>
        </is>
      </c>
      <c r="E4" s="2" t="inlineStr">
        <is>
          <t>정상 기준 (Expected Result)</t>
        </is>
      </c>
      <c r="F4" s="2" t="inlineStr">
        <is>
          <t>확인 결과</t>
        </is>
      </c>
      <c r="G4" s="2" t="inlineStr">
        <is>
          <t>메모 및 수정요청사항</t>
        </is>
      </c>
      <c r="H4" s="2" t="inlineStr">
        <is>
          <t>확인자</t>
        </is>
      </c>
    </row>
    <row r="5">
      <c r="A5" s="5" t="n">
        <v>1</v>
      </c>
      <c r="B5" s="11" t="inlineStr">
        <is>
          <t>아이폰 화면</t>
        </is>
      </c>
      <c r="C5" s="14" t="inlineStr">
        <is>
          <t>아이폰(iOS) 노치 및 하단 홈바 여백</t>
        </is>
      </c>
      <c r="D5" s="14" t="inlineStr">
        <is>
          <t>아이폰 사파리/크롬으로 부고장 작성 및 뷰어 접속.</t>
        </is>
      </c>
      <c r="E5" s="14" t="inlineStr">
        <is>
          <t>하단 고정 버튼이 홈바와 겹치지 않고 안전 여백(Safe Area)이 확보됨.</t>
        </is>
      </c>
      <c r="F5" s="5" t="inlineStr">
        <is>
          <t>미수행</t>
        </is>
      </c>
      <c r="G5" s="14" t="inlineStr"/>
      <c r="H5" s="11" t="inlineStr"/>
    </row>
    <row r="6">
      <c r="A6" s="16" t="n">
        <v>2</v>
      </c>
      <c r="B6" s="17" t="inlineStr">
        <is>
          <t>갤럭시 화면</t>
        </is>
      </c>
      <c r="C6" s="18" t="inlineStr">
        <is>
          <t>갤럭시(Android) 다양한 화면 비율</t>
        </is>
      </c>
      <c r="D6" s="18" t="inlineStr">
        <is>
          <t>갤럭시 스마트폰 브라우저로 부고장 뷰어 접속.</t>
        </is>
      </c>
      <c r="E6" s="18" t="inlineStr">
        <is>
          <t>가로 스크롤 발생 없이 화면 너비에 맞게 텍스트와 표가 반응형으로 조절됨.</t>
        </is>
      </c>
      <c r="F6" s="16" t="inlineStr">
        <is>
          <t>미수행</t>
        </is>
      </c>
      <c r="G6" s="18" t="inlineStr"/>
      <c r="H6" s="17" t="inlineStr"/>
    </row>
    <row r="7">
      <c r="A7" s="5" t="n">
        <v>3</v>
      </c>
      <c r="B7" s="11" t="inlineStr">
        <is>
          <t>PC 화면</t>
        </is>
      </c>
      <c r="C7" s="14" t="inlineStr">
        <is>
          <t>PC 모니터 화면 중앙 정렬 및 여백</t>
        </is>
      </c>
      <c r="D7" s="14" t="inlineStr">
        <is>
          <t>PC 모니터 브라우저에서 부고장 페이지 열기.</t>
        </is>
      </c>
      <c r="E7" s="14" t="inlineStr">
        <is>
          <t>화면 중앙에 모바일 카드 형태(최대 480px)로 정렬되고 배경 여백이 정돈됨.</t>
        </is>
      </c>
      <c r="F7" s="5" t="inlineStr">
        <is>
          <t>미수행</t>
        </is>
      </c>
      <c r="G7" s="14" t="inlineStr"/>
      <c r="H7" s="11" t="inlineStr"/>
    </row>
    <row r="8">
      <c r="A8" s="16" t="n">
        <v>4</v>
      </c>
      <c r="B8" s="17" t="inlineStr">
        <is>
          <t>템플릿 가독성</t>
        </is>
      </c>
      <c r="C8" s="18" t="inlineStr">
        <is>
          <t>4종 템플릿 배경 그래픽과 텍스트 대비</t>
        </is>
      </c>
      <c r="D8" s="18" t="inlineStr">
        <is>
          <t>4종 템플릿 헤더 영역의 배경 그래픽과 텍스트 대비 확인.</t>
        </is>
      </c>
      <c r="E8" s="18" t="inlineStr">
        <is>
          <t>배경 이미지 위에 얹어진 고인 성함과 일정이 또렷하게 잘 읽힘.</t>
        </is>
      </c>
      <c r="F8" s="16" t="inlineStr">
        <is>
          <t>미수행</t>
        </is>
      </c>
      <c r="G8" s="18" t="inlineStr"/>
      <c r="H8" s="17" t="inlineStr"/>
    </row>
    <row r="9">
      <c r="A9" s="5" t="n">
        <v>5</v>
      </c>
      <c r="B9" s="11" t="inlineStr">
        <is>
          <t>폰트 크기</t>
        </is>
      </c>
      <c r="C9" s="14" t="inlineStr">
        <is>
          <t>주요 정보(고인, 일정, 계좌) 폰트 크기</t>
        </is>
      </c>
      <c r="D9" s="14" t="inlineStr">
        <is>
          <t>부고장 뷰어의 고인명, 발인일시, 상주 목록 폰트 확인.</t>
        </is>
      </c>
      <c r="E9" s="14" t="inlineStr">
        <is>
          <t>주요 정보가 굵고 큼직하게 강조되어 가독성이 확보됨.</t>
        </is>
      </c>
      <c r="F9" s="5" t="inlineStr">
        <is>
          <t>미수행</t>
        </is>
      </c>
      <c r="G9" s="14" t="inlineStr"/>
      <c r="H9" s="11" t="inlineStr"/>
    </row>
    <row r="10">
      <c r="A10" s="16" t="n">
        <v>6</v>
      </c>
      <c r="B10" s="17" t="inlineStr">
        <is>
          <t>버튼 터치 영역</t>
        </is>
      </c>
      <c r="C10" s="18" t="inlineStr">
        <is>
          <t>주요 CTA 버튼의 터치 영역 크기</t>
        </is>
      </c>
      <c r="D10" s="18" t="inlineStr">
        <is>
          <t>[부의금 보내기], [지인에게 공유하기] 버튼 터치 조작.</t>
        </is>
      </c>
      <c r="E10" s="18" t="inlineStr">
        <is>
          <t>버튼 높이가 충분(최소 48px 이상)하여 터치가 용이하고 클릭 피드백이 제공됨.</t>
        </is>
      </c>
      <c r="F10" s="16" t="inlineStr">
        <is>
          <t>미수행</t>
        </is>
      </c>
      <c r="G10" s="18" t="inlineStr"/>
      <c r="H10" s="17" t="inlineStr"/>
    </row>
    <row r="11">
      <c r="A11" s="5" t="n">
        <v>7</v>
      </c>
      <c r="B11" s="11" t="inlineStr">
        <is>
          <t>계좌 복사 팝업</t>
        </is>
      </c>
      <c r="C11" s="14" t="inlineStr">
        <is>
          <t>부의금 계좌 팝업 및 복사 완료 토스트</t>
        </is>
      </c>
      <c r="D11" s="14" t="inlineStr">
        <is>
          <t>[부의금 보내기] 클릭 ➔ 계좌 팝업 ➔ [계좌번호 복사] 클릭.</t>
        </is>
      </c>
      <c r="E11" s="14" t="inlineStr">
        <is>
          <t>계좌 팝업이 즉시 노출되고, 복사 클릭 시 '복사되었습니다' 토스트 알림이 뜸.</t>
        </is>
      </c>
      <c r="F11" s="5" t="inlineStr">
        <is>
          <t>미수행</t>
        </is>
      </c>
      <c r="G11" s="14" t="inlineStr"/>
      <c r="H11" s="11" t="inlineStr"/>
    </row>
    <row r="12">
      <c r="A12" s="16" t="n">
        <v>8</v>
      </c>
      <c r="B12" s="17" t="inlineStr">
        <is>
          <t>가상 키보드</t>
        </is>
      </c>
      <c r="C12" s="18" t="inlineStr">
        <is>
          <t>글 입력 시 가상 키보드 가림 방지</t>
        </is>
      </c>
      <c r="D12" s="18" t="inlineStr">
        <is>
          <t>스마트폰에서 상주명/계좌번호 입력 칸 터치.</t>
        </is>
      </c>
      <c r="E12" s="18" t="inlineStr">
        <is>
          <t>가상 키보드가 올라와도 입력 칸이 가려지지 않고 화면이 자동 스크롤됨.</t>
        </is>
      </c>
      <c r="F12" s="16" t="inlineStr">
        <is>
          <t>미수행</t>
        </is>
      </c>
      <c r="G12" s="18" t="inlineStr"/>
      <c r="H12" s="17" t="inlineStr"/>
    </row>
    <row r="13">
      <c r="A13" s="5" t="n">
        <v>9</v>
      </c>
      <c r="B13" s="11" t="inlineStr">
        <is>
          <t>로딩 상태</t>
        </is>
      </c>
      <c r="C13" s="14" t="inlineStr">
        <is>
          <t>부고장 생성/결제 진행 시 로딩 표시</t>
        </is>
      </c>
      <c r="D13" s="14" t="inlineStr">
        <is>
          <t>부고장 생성 버튼 또는 카드결제 버튼 클릭.</t>
        </is>
      </c>
      <c r="E13" s="14" t="inlineStr">
        <is>
          <t>처리 중임을 알리는 로딩 인디케이터가 표시되어 중복 클릭이 방지됨.</t>
        </is>
      </c>
      <c r="F13" s="5" t="inlineStr">
        <is>
          <t>미수행</t>
        </is>
      </c>
      <c r="G13" s="14" t="inlineStr"/>
      <c r="H13" s="11" t="inlineStr"/>
    </row>
    <row r="14">
      <c r="A14" s="16" t="n">
        <v>10</v>
      </c>
      <c r="B14" s="17" t="inlineStr">
        <is>
          <t>카카오톡 카드</t>
        </is>
      </c>
      <c r="C14" s="18" t="inlineStr">
        <is>
          <t>카카오톡 공유 메시지 카드 레이아웃</t>
        </is>
      </c>
      <c r="D14" s="18" t="inlineStr">
        <is>
          <t>카카오톡으로 공유된 부고장 메시지 카드 확인.</t>
        </is>
      </c>
      <c r="E14" s="18" t="inlineStr">
        <is>
          <t>고인명, 향년, 빈소 정보와 썸네일 이미지가 잘림 없이 정갈하게 표시됨.</t>
        </is>
      </c>
      <c r="F14" s="16" t="inlineStr">
        <is>
          <t>미수행</t>
        </is>
      </c>
      <c r="G14" s="18" t="inlineStr"/>
      <c r="H14" s="17" t="inlineStr"/>
    </row>
  </sheetData>
  <mergeCells count="2">
    <mergeCell ref="A2:G2"/>
    <mergeCell ref="A1:G1"/>
  </mergeCells>
  <dataValidations count="1">
    <dataValidation sqref="F5 F6 F7 F8 F9 F10 F11 F12 F13 F14 F15 F16 F17 F18 F19" showDropDown="0" showInputMessage="0" showErrorMessage="0" allowBlank="1" type="list">
      <formula1>"정상,오류,확인필요,미수행"</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6" customWidth="1" min="1" max="1"/>
    <col width="14" customWidth="1" min="2" max="2"/>
    <col width="16" customWidth="1" min="3" max="3"/>
    <col width="28" customWidth="1" min="4" max="4"/>
    <col width="22" customWidth="1" min="5" max="5"/>
    <col width="16" customWidth="1" min="6" max="6"/>
    <col width="15" customWidth="1" min="7" max="7"/>
    <col width="38" customWidth="1" min="8" max="8"/>
    <col width="30" customWidth="1" min="9" max="9"/>
    <col width="45" customWidth="1" min="10" max="10"/>
    <col width="15" customWidth="1" min="11" max="11"/>
    <col width="32" customWidth="1" min="12" max="12"/>
  </cols>
  <sheetData>
    <row r="1" ht="28" customHeight="1">
      <c r="A1" s="23" t="inlineStr">
        <is>
          <t>[전사 QA] 이슈 · 버그 · 화면 캡처 통합 피드백 리포트</t>
        </is>
      </c>
    </row>
    <row r="2" ht="20" customHeight="1">
      <c r="A2" s="24" t="inlineStr">
        <is>
          <t>※ 테스트 중 발견된 화면 깨짐, 오작동, 텍스트 오타, UX 불편사항을 스크린샷 캡처와 함께 아래 표에 자유롭게 기재해 주세요.</t>
        </is>
      </c>
    </row>
    <row r="4" ht="28" customHeight="1">
      <c r="A4" s="25" t="inlineStr">
        <is>
          <t>No</t>
        </is>
      </c>
      <c r="B4" s="25" t="inlineStr">
        <is>
          <t>발견일시</t>
        </is>
      </c>
      <c r="C4" s="25" t="inlineStr">
        <is>
          <t>테스터 / 제보자</t>
        </is>
      </c>
      <c r="D4" s="25" t="inlineStr">
        <is>
          <t>발생 위치 (URL / 화면)</t>
        </is>
      </c>
      <c r="E4" s="25" t="inlineStr">
        <is>
          <t>기기 및 브라우저 환경</t>
        </is>
      </c>
      <c r="F4" s="25" t="inlineStr">
        <is>
          <t>이슈 유형</t>
        </is>
      </c>
      <c r="G4" s="25" t="inlineStr">
        <is>
          <t>심각도</t>
        </is>
      </c>
      <c r="H4" s="25" t="inlineStr">
        <is>
          <t>오류 현상 및 상세 재현 방법</t>
        </is>
      </c>
      <c r="I4" s="25" t="inlineStr">
        <is>
          <t>정상 동작 (기대 결과)</t>
        </is>
      </c>
      <c r="J4" s="25" t="inlineStr">
        <is>
          <t>📸 화면 캡처 (스크린샷 붙여넣기)</t>
        </is>
      </c>
      <c r="K4" s="25" t="inlineStr">
        <is>
          <t>개발팀 조치 현황</t>
        </is>
      </c>
      <c r="L4" s="25" t="inlineStr">
        <is>
          <t>조치 내용 및 메모</t>
        </is>
      </c>
    </row>
    <row r="5" ht="80" customHeight="1">
      <c r="A5" s="26" t="n">
        <v>1</v>
      </c>
      <c r="B5" s="26" t="inlineStr">
        <is>
          <t>2026-09-02</t>
        </is>
      </c>
      <c r="C5" s="26" t="inlineStr">
        <is>
          <t>홍길동 테스터</t>
        </is>
      </c>
      <c r="D5" s="27" t="inlineStr">
        <is>
          <t>https://iumbugo.com/create/basic (부고 작성)</t>
        </is>
      </c>
      <c r="E5" s="26" t="inlineStr">
        <is>
          <t>아이폰 15 Pro / 사파리</t>
        </is>
      </c>
      <c r="F5" s="26" t="inlineStr">
        <is>
          <t>🎨 UI/화면깨짐</t>
        </is>
      </c>
      <c r="G5" s="26" t="inlineStr">
        <is>
          <t>🟡 보통</t>
        </is>
      </c>
      <c r="H5" s="27" t="inlineStr">
        <is>
          <t>상주 5명 추가 시 하단 [완료] 버튼이 살짝 가려짐 (스크롤 끝까지 안 됨)</t>
        </is>
      </c>
      <c r="I5" s="27" t="inlineStr">
        <is>
          <t>상주 인원 수에 관계없이 하단 여백이 넉넉히 확보되어 완료 버튼이 잘 보여야 함</t>
        </is>
      </c>
      <c r="J5" s="28" t="inlineStr">
        <is>
          <t>[여기에 캡처 이미지를 붙여넣기 해주세요]</t>
        </is>
      </c>
      <c r="K5" s="26" t="inlineStr">
        <is>
          <t>🛠️ 수정중</t>
        </is>
      </c>
      <c r="L5" s="27" t="inlineStr">
        <is>
          <t>하단 패딩 padding-bottom: 120px 추가 예정</t>
        </is>
      </c>
    </row>
    <row r="6" ht="80" customHeight="1">
      <c r="A6" s="26" t="n">
        <v>2</v>
      </c>
      <c r="B6" s="26" t="inlineStr">
        <is>
          <t>2026-09-02</t>
        </is>
      </c>
      <c r="C6" s="26" t="inlineStr">
        <is>
          <t>김철수 대리</t>
        </is>
      </c>
      <c r="D6" s="27" t="inlineStr">
        <is>
          <t>부고장 뷰어 (/view/EB...)</t>
        </is>
      </c>
      <c r="E6" s="26" t="inlineStr">
        <is>
          <t>갤럭시 S24 / 삼성인터넷</t>
        </is>
      </c>
      <c r="F6" s="26" t="inlineStr">
        <is>
          <t>⚡ 기능오류</t>
        </is>
      </c>
      <c r="G6" s="26" t="inlineStr">
        <is>
          <t>🚨 긴급(Blocker)</t>
        </is>
      </c>
      <c r="H6" s="27" t="inlineStr">
        <is>
          <t>카카오톡 공유 버튼 클릭 시 팝업이 안 뜨고 먹통 현상 발생</t>
        </is>
      </c>
      <c r="I6" s="27" t="inlineStr">
        <is>
          <t>카카오톡 공유 모달 또는 카톡 앱이 즉시 호출되어야 함</t>
        </is>
      </c>
      <c r="J6" s="28" t="inlineStr">
        <is>
          <t>[여기에 캡처 이미지를 붙여넣기 해주세요]</t>
        </is>
      </c>
      <c r="K6" s="26" t="inlineStr">
        <is>
          <t>✅ 조치완료</t>
        </is>
      </c>
      <c r="L6" s="27" t="inlineStr">
        <is>
          <t>카카오 JS SDK 도메인 허용 및 키 동기화 완료</t>
        </is>
      </c>
    </row>
    <row r="7" ht="80" customHeight="1">
      <c r="A7" s="26" t="n">
        <v>3</v>
      </c>
      <c r="B7" s="26" t="inlineStr"/>
      <c r="C7" s="26" t="inlineStr"/>
      <c r="D7" s="27" t="inlineStr"/>
      <c r="E7" s="26" t="inlineStr"/>
      <c r="F7" s="26" t="inlineStr"/>
      <c r="G7" s="26" t="inlineStr"/>
      <c r="H7" s="27" t="inlineStr"/>
      <c r="I7" s="27" t="inlineStr"/>
      <c r="J7" s="28" t="inlineStr">
        <is>
          <t>[여기에 캡처 이미지를 붙여넣기 해주세요]</t>
        </is>
      </c>
      <c r="K7" s="26" t="inlineStr">
        <is>
          <t>⏳ 접수</t>
        </is>
      </c>
      <c r="L7" s="27" t="inlineStr"/>
    </row>
    <row r="8" ht="80" customHeight="1">
      <c r="A8" s="26" t="n">
        <v>4</v>
      </c>
      <c r="B8" s="26" t="inlineStr"/>
      <c r="C8" s="26" t="inlineStr"/>
      <c r="D8" s="27" t="inlineStr"/>
      <c r="E8" s="26" t="inlineStr"/>
      <c r="F8" s="26" t="inlineStr"/>
      <c r="G8" s="26" t="inlineStr"/>
      <c r="H8" s="27" t="inlineStr"/>
      <c r="I8" s="27" t="inlineStr"/>
      <c r="J8" s="28" t="inlineStr">
        <is>
          <t>[여기에 캡처 이미지를 붙여넣기 해주세요]</t>
        </is>
      </c>
      <c r="K8" s="26" t="inlineStr">
        <is>
          <t>⏳ 접수</t>
        </is>
      </c>
      <c r="L8" s="27" t="inlineStr"/>
    </row>
    <row r="9" ht="80" customHeight="1">
      <c r="A9" s="26" t="n">
        <v>5</v>
      </c>
      <c r="B9" s="26" t="inlineStr"/>
      <c r="C9" s="26" t="inlineStr"/>
      <c r="D9" s="27" t="inlineStr"/>
      <c r="E9" s="26" t="inlineStr"/>
      <c r="F9" s="26" t="inlineStr"/>
      <c r="G9" s="26" t="inlineStr"/>
      <c r="H9" s="27" t="inlineStr"/>
      <c r="I9" s="27" t="inlineStr"/>
      <c r="J9" s="28" t="inlineStr">
        <is>
          <t>[여기에 캡처 이미지를 붙여넣기 해주세요]</t>
        </is>
      </c>
      <c r="K9" s="26" t="inlineStr">
        <is>
          <t>⏳ 접수</t>
        </is>
      </c>
      <c r="L9" s="27" t="inlineStr"/>
    </row>
    <row r="10" ht="80" customHeight="1">
      <c r="A10" s="26" t="n">
        <v>6</v>
      </c>
      <c r="B10" s="26" t="inlineStr"/>
      <c r="C10" s="26" t="inlineStr"/>
      <c r="D10" s="27" t="inlineStr"/>
      <c r="E10" s="26" t="inlineStr"/>
      <c r="F10" s="26" t="inlineStr"/>
      <c r="G10" s="26" t="inlineStr"/>
      <c r="H10" s="27" t="inlineStr"/>
      <c r="I10" s="27" t="inlineStr"/>
      <c r="J10" s="28" t="inlineStr">
        <is>
          <t>[여기에 캡처 이미지를 붙여넣기 해주세요]</t>
        </is>
      </c>
      <c r="K10" s="26" t="inlineStr">
        <is>
          <t>⏳ 접수</t>
        </is>
      </c>
      <c r="L10" s="27" t="inlineStr"/>
    </row>
    <row r="11" ht="80" customHeight="1">
      <c r="A11" s="26" t="n">
        <v>7</v>
      </c>
      <c r="B11" s="26" t="inlineStr"/>
      <c r="C11" s="26" t="inlineStr"/>
      <c r="D11" s="27" t="inlineStr"/>
      <c r="E11" s="26" t="inlineStr"/>
      <c r="F11" s="26" t="inlineStr"/>
      <c r="G11" s="26" t="inlineStr"/>
      <c r="H11" s="27" t="inlineStr"/>
      <c r="I11" s="27" t="inlineStr"/>
      <c r="J11" s="28" t="inlineStr">
        <is>
          <t>[여기에 캡처 이미지를 붙여넣기 해주세요]</t>
        </is>
      </c>
      <c r="K11" s="26" t="inlineStr">
        <is>
          <t>⏳ 접수</t>
        </is>
      </c>
      <c r="L11" s="27" t="inlineStr"/>
    </row>
    <row r="12" ht="80" customHeight="1">
      <c r="A12" s="26" t="n">
        <v>8</v>
      </c>
      <c r="B12" s="26" t="inlineStr"/>
      <c r="C12" s="26" t="inlineStr"/>
      <c r="D12" s="27" t="inlineStr"/>
      <c r="E12" s="26" t="inlineStr"/>
      <c r="F12" s="26" t="inlineStr"/>
      <c r="G12" s="26" t="inlineStr"/>
      <c r="H12" s="27" t="inlineStr"/>
      <c r="I12" s="27" t="inlineStr"/>
      <c r="J12" s="28" t="inlineStr">
        <is>
          <t>[여기에 캡처 이미지를 붙여넣기 해주세요]</t>
        </is>
      </c>
      <c r="K12" s="26" t="inlineStr">
        <is>
          <t>⏳ 접수</t>
        </is>
      </c>
      <c r="L12" s="27" t="inlineStr"/>
    </row>
    <row r="13" ht="80" customHeight="1">
      <c r="A13" s="26" t="n">
        <v>9</v>
      </c>
      <c r="B13" s="26" t="inlineStr"/>
      <c r="C13" s="26" t="inlineStr"/>
      <c r="D13" s="27" t="inlineStr"/>
      <c r="E13" s="26" t="inlineStr"/>
      <c r="F13" s="26" t="inlineStr"/>
      <c r="G13" s="26" t="inlineStr"/>
      <c r="H13" s="27" t="inlineStr"/>
      <c r="I13" s="27" t="inlineStr"/>
      <c r="J13" s="28" t="inlineStr">
        <is>
          <t>[여기에 캡처 이미지를 붙여넣기 해주세요]</t>
        </is>
      </c>
      <c r="K13" s="26" t="inlineStr">
        <is>
          <t>⏳ 접수</t>
        </is>
      </c>
      <c r="L13" s="27" t="inlineStr"/>
    </row>
    <row r="14" ht="80" customHeight="1">
      <c r="A14" s="26" t="n">
        <v>10</v>
      </c>
      <c r="B14" s="26" t="inlineStr"/>
      <c r="C14" s="26" t="inlineStr"/>
      <c r="D14" s="27" t="inlineStr"/>
      <c r="E14" s="26" t="inlineStr"/>
      <c r="F14" s="26" t="inlineStr"/>
      <c r="G14" s="26" t="inlineStr"/>
      <c r="H14" s="27" t="inlineStr"/>
      <c r="I14" s="27" t="inlineStr"/>
      <c r="J14" s="28" t="inlineStr">
        <is>
          <t>[여기에 캡처 이미지를 붙여넣기 해주세요]</t>
        </is>
      </c>
      <c r="K14" s="26" t="inlineStr">
        <is>
          <t>⏳ 접수</t>
        </is>
      </c>
      <c r="L14" s="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2026-09-02T06:12:17Z</dcterms:created>
  <dcterms:modified xmlns:dcterms="http://purl.org/dc/terms/" xmlns:xsi="http://www.w3.org/2001/XMLSchema-instance" xsi:type="dcterms:W3CDTF">2026-09-02T07:52:18Z</dcterms:modified>
</cp:coreProperties>
</file>